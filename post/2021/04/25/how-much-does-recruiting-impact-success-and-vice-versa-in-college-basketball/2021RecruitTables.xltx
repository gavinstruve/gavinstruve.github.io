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avinstruve/Documents/SportsDataProj1/content/post/2021-04-25-how-much-does-recruiting-impact-success-and-vice-versa-in-college-basketball/"/>
    </mc:Choice>
  </mc:AlternateContent>
  <xr:revisionPtr revIDLastSave="0" documentId="8_{95A27CAA-EB16-CC4B-BA44-86955F07410F}" xr6:coauthVersionLast="46" xr6:coauthVersionMax="46" xr10:uidLastSave="{00000000-0000-0000-0000-000000000000}"/>
  <bookViews>
    <workbookView xWindow="760" yWindow="460" windowWidth="28040" windowHeight="16460" xr2:uid="{00000000-000D-0000-FFFF-FFFF00000000}"/>
  </bookViews>
  <sheets>
    <sheet name="RecruitingTabl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4" i="1" l="1"/>
  <c r="B84" i="1"/>
  <c r="D84" i="1"/>
  <c r="C84" i="1"/>
  <c r="E84" i="1"/>
  <c r="M84" i="1"/>
  <c r="E32" i="1"/>
  <c r="M3" i="1"/>
  <c r="E2" i="1"/>
  <c r="M83" i="1"/>
  <c r="M82" i="1"/>
  <c r="M80" i="1"/>
  <c r="M81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8" i="1"/>
  <c r="M59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2" i="1"/>
  <c r="F83" i="1"/>
  <c r="D83" i="1"/>
  <c r="C83" i="1"/>
  <c r="B83" i="1"/>
  <c r="E83" i="1"/>
  <c r="F82" i="1"/>
  <c r="D82" i="1"/>
  <c r="C82" i="1"/>
  <c r="B82" i="1"/>
  <c r="E82" i="1"/>
  <c r="F81" i="1"/>
  <c r="D81" i="1"/>
  <c r="C81" i="1"/>
  <c r="B81" i="1"/>
  <c r="E81" i="1"/>
  <c r="F80" i="1"/>
  <c r="D80" i="1"/>
  <c r="C80" i="1"/>
  <c r="B80" i="1"/>
  <c r="E80" i="1"/>
  <c r="F79" i="1"/>
  <c r="D79" i="1"/>
  <c r="C79" i="1"/>
  <c r="B79" i="1"/>
  <c r="E79" i="1"/>
  <c r="F78" i="1"/>
  <c r="D78" i="1"/>
  <c r="C78" i="1"/>
  <c r="B78" i="1"/>
  <c r="E78" i="1"/>
  <c r="F77" i="1"/>
  <c r="D77" i="1"/>
  <c r="C77" i="1"/>
  <c r="B77" i="1"/>
  <c r="E77" i="1"/>
  <c r="F76" i="1"/>
  <c r="D76" i="1"/>
  <c r="C76" i="1"/>
  <c r="B76" i="1"/>
  <c r="E76" i="1"/>
  <c r="F75" i="1"/>
  <c r="D75" i="1"/>
  <c r="C75" i="1"/>
  <c r="B75" i="1"/>
  <c r="E75" i="1"/>
  <c r="F74" i="1"/>
  <c r="D74" i="1"/>
  <c r="C74" i="1"/>
  <c r="B74" i="1"/>
  <c r="E74" i="1"/>
  <c r="F73" i="1"/>
  <c r="D73" i="1"/>
  <c r="C73" i="1"/>
  <c r="B73" i="1"/>
  <c r="E73" i="1"/>
  <c r="F72" i="1"/>
  <c r="D72" i="1"/>
  <c r="C72" i="1"/>
  <c r="B72" i="1"/>
  <c r="E72" i="1"/>
  <c r="B71" i="1"/>
  <c r="F71" i="1"/>
  <c r="D71" i="1"/>
  <c r="C71" i="1"/>
  <c r="E71" i="1"/>
  <c r="F70" i="1"/>
  <c r="D70" i="1"/>
  <c r="C70" i="1"/>
  <c r="B70" i="1"/>
  <c r="E70" i="1"/>
  <c r="F68" i="1"/>
  <c r="F69" i="1"/>
  <c r="D69" i="1"/>
  <c r="C69" i="1"/>
  <c r="B69" i="1"/>
  <c r="E69" i="1"/>
  <c r="B68" i="1"/>
  <c r="D68" i="1"/>
  <c r="C68" i="1"/>
  <c r="E68" i="1"/>
  <c r="F67" i="1"/>
  <c r="D67" i="1"/>
  <c r="C67" i="1"/>
  <c r="B67" i="1"/>
  <c r="E67" i="1"/>
  <c r="F66" i="1"/>
  <c r="D66" i="1"/>
  <c r="C66" i="1"/>
  <c r="B66" i="1"/>
  <c r="E66" i="1"/>
  <c r="F65" i="1"/>
  <c r="F60" i="1"/>
  <c r="D65" i="1"/>
  <c r="C65" i="1"/>
  <c r="B65" i="1"/>
  <c r="E65" i="1"/>
  <c r="F64" i="1"/>
  <c r="D64" i="1"/>
  <c r="C64" i="1"/>
  <c r="B64" i="1"/>
  <c r="E64" i="1"/>
  <c r="F63" i="1"/>
  <c r="D63" i="1"/>
  <c r="C63" i="1"/>
  <c r="B63" i="1"/>
  <c r="E63" i="1"/>
  <c r="F62" i="1"/>
  <c r="D62" i="1"/>
  <c r="C62" i="1"/>
  <c r="B62" i="1"/>
  <c r="E62" i="1"/>
  <c r="F61" i="1"/>
  <c r="D61" i="1"/>
  <c r="C61" i="1"/>
  <c r="B61" i="1"/>
  <c r="E61" i="1"/>
  <c r="D60" i="1"/>
  <c r="C60" i="1"/>
  <c r="B60" i="1"/>
  <c r="E60" i="1"/>
  <c r="F59" i="1"/>
  <c r="D59" i="1"/>
  <c r="C59" i="1"/>
  <c r="B59" i="1"/>
  <c r="E59" i="1"/>
  <c r="B58" i="1"/>
  <c r="F58" i="1"/>
  <c r="D58" i="1"/>
  <c r="C58" i="1"/>
  <c r="E58" i="1"/>
  <c r="F57" i="1"/>
  <c r="D57" i="1"/>
  <c r="C57" i="1"/>
  <c r="B57" i="1"/>
  <c r="E57" i="1"/>
  <c r="D56" i="1"/>
  <c r="C56" i="1"/>
  <c r="B56" i="1"/>
  <c r="F56" i="1"/>
  <c r="E56" i="1"/>
  <c r="F55" i="1"/>
  <c r="D55" i="1"/>
  <c r="C55" i="1"/>
  <c r="B55" i="1"/>
  <c r="E55" i="1"/>
  <c r="F54" i="1"/>
  <c r="D54" i="1"/>
  <c r="C54" i="1"/>
  <c r="B54" i="1"/>
  <c r="E54" i="1"/>
  <c r="D53" i="1"/>
  <c r="C53" i="1"/>
  <c r="B53" i="1"/>
  <c r="F53" i="1"/>
  <c r="E53" i="1"/>
  <c r="B52" i="1"/>
  <c r="C52" i="1"/>
  <c r="D52" i="1"/>
  <c r="F52" i="1"/>
  <c r="E52" i="1"/>
  <c r="D51" i="1"/>
  <c r="C51" i="1"/>
  <c r="B51" i="1"/>
  <c r="F51" i="1"/>
  <c r="E51" i="1"/>
  <c r="F50" i="1"/>
  <c r="D50" i="1"/>
  <c r="C50" i="1"/>
  <c r="B50" i="1"/>
  <c r="E50" i="1"/>
  <c r="D49" i="1"/>
  <c r="C49" i="1"/>
  <c r="B49" i="1"/>
  <c r="F49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<sst xmlns="http://schemas.openxmlformats.org/spreadsheetml/2006/main" count="99" uniqueCount="99">
  <si>
    <t>School</t>
  </si>
  <si>
    <t>Kentucky</t>
  </si>
  <si>
    <t>Duke</t>
  </si>
  <si>
    <t>North Carolina</t>
  </si>
  <si>
    <t>Gonzaga</t>
  </si>
  <si>
    <t>Memphis</t>
  </si>
  <si>
    <t xml:space="preserve">Oregon </t>
  </si>
  <si>
    <t>UCLA</t>
  </si>
  <si>
    <t>Kansas</t>
  </si>
  <si>
    <t>Florida</t>
  </si>
  <si>
    <t>Florida State</t>
  </si>
  <si>
    <t>Arizona</t>
  </si>
  <si>
    <t>Michigan State</t>
  </si>
  <si>
    <t xml:space="preserve">Michigan </t>
  </si>
  <si>
    <t>Tennessee</t>
  </si>
  <si>
    <t>Louisville</t>
  </si>
  <si>
    <t>Texas</t>
  </si>
  <si>
    <t>Syracuse</t>
  </si>
  <si>
    <t>Uconn</t>
  </si>
  <si>
    <t>Arizona State</t>
  </si>
  <si>
    <t>USC</t>
  </si>
  <si>
    <t>Indiana</t>
  </si>
  <si>
    <t>Washington</t>
  </si>
  <si>
    <t>Texas Tech</t>
  </si>
  <si>
    <t>Virginia</t>
  </si>
  <si>
    <t>Villanova</t>
  </si>
  <si>
    <t>West Virginia</t>
  </si>
  <si>
    <t>Miami</t>
  </si>
  <si>
    <t>Maryland</t>
  </si>
  <si>
    <t>LSU</t>
  </si>
  <si>
    <t>Auburn</t>
  </si>
  <si>
    <t>Alabama</t>
  </si>
  <si>
    <t>Illinois</t>
  </si>
  <si>
    <t>NC State</t>
  </si>
  <si>
    <t>Georgia</t>
  </si>
  <si>
    <t>Colorado</t>
  </si>
  <si>
    <t>Ohio State</t>
  </si>
  <si>
    <t>Clemson</t>
  </si>
  <si>
    <t>Pittsburgh</t>
  </si>
  <si>
    <t>Virginia Tech</t>
  </si>
  <si>
    <t>Wake Forest</t>
  </si>
  <si>
    <t>Georgia Tech</t>
  </si>
  <si>
    <t>Notre Dame</t>
  </si>
  <si>
    <t>Boston College</t>
  </si>
  <si>
    <t>Oklahoma State</t>
  </si>
  <si>
    <t>Baylor</t>
  </si>
  <si>
    <t>Iowa State</t>
  </si>
  <si>
    <t>Kansas State</t>
  </si>
  <si>
    <t>TCU</t>
  </si>
  <si>
    <t>Oklahoma</t>
  </si>
  <si>
    <t>Rutgers</t>
  </si>
  <si>
    <t>Wisconsin</t>
  </si>
  <si>
    <t>Purdue</t>
  </si>
  <si>
    <t>Minnesota</t>
  </si>
  <si>
    <t>Iowa</t>
  </si>
  <si>
    <t>Nebraska</t>
  </si>
  <si>
    <t>Penn State</t>
  </si>
  <si>
    <t>Northwestern</t>
  </si>
  <si>
    <t>Stanford</t>
  </si>
  <si>
    <t>Washington State</t>
  </si>
  <si>
    <t>Utah</t>
  </si>
  <si>
    <t>California</t>
  </si>
  <si>
    <t>Oregon State</t>
  </si>
  <si>
    <t>Texas A&amp;M</t>
  </si>
  <si>
    <t>Missouri</t>
  </si>
  <si>
    <t>Ole Miss</t>
  </si>
  <si>
    <t>South Carolina</t>
  </si>
  <si>
    <t>Vanderbilt</t>
  </si>
  <si>
    <t>Mississippi State</t>
  </si>
  <si>
    <t>Arkansas</t>
  </si>
  <si>
    <t>Marquette</t>
  </si>
  <si>
    <t>Xavier</t>
  </si>
  <si>
    <t>Creighton</t>
  </si>
  <si>
    <t>DePaul</t>
  </si>
  <si>
    <t>Butler</t>
  </si>
  <si>
    <t>Georgetown</t>
  </si>
  <si>
    <t>St. John's</t>
  </si>
  <si>
    <t>Seton Hall</t>
  </si>
  <si>
    <t>Providence</t>
  </si>
  <si>
    <t>San Diego State</t>
  </si>
  <si>
    <t>Houston</t>
  </si>
  <si>
    <t>Wichita State</t>
  </si>
  <si>
    <t>Loyola Chicago</t>
  </si>
  <si>
    <t>Dayton</t>
  </si>
  <si>
    <t xml:space="preserve"> </t>
  </si>
  <si>
    <t>fivestars</t>
  </si>
  <si>
    <t>fourstars</t>
  </si>
  <si>
    <t>avgrecruitingpts</t>
  </si>
  <si>
    <t>avgrank</t>
  </si>
  <si>
    <t>sixteenavgrecpts</t>
  </si>
  <si>
    <t>seventeenavgrecpts</t>
  </si>
  <si>
    <t>eighteenavgrecpts</t>
  </si>
  <si>
    <t>nineteenavgrecpts</t>
  </si>
  <si>
    <t>twentyavgrecpts</t>
  </si>
  <si>
    <t>fiveyrwinperc</t>
  </si>
  <si>
    <t>kenpom</t>
  </si>
  <si>
    <t>tournaments</t>
  </si>
  <si>
    <t>tournamentwins</t>
  </si>
  <si>
    <t>commits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</si>
</sst>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.AppleSystemUIFont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94"/>
  <sheetViews>
    <sheetView tabSelected="1" workbookViewId="0">
      <selection activeCell="B1" sqref="B1"/>
    </sheetView>
  </sheetViews>
  <sheetFormatPr baseColWidth="10" defaultRowHeight="16"/>
  <cols>
    <col min="1" max="1" width="16.83203125" customWidth="1"/>
    <col min="5" max="5" width="15.83203125" customWidth="1"/>
    <col min="7" max="7" width="16" customWidth="1"/>
    <col min="8" max="8" width="15.83203125" customWidth="1"/>
    <col min="9" max="9" width="15.6640625" customWidth="1"/>
    <col min="10" max="10" width="16.33203125" customWidth="1"/>
    <col min="11" max="11" width="15.83203125" customWidth="1"/>
    <col min="15" max="15" width="16" customWidth="1"/>
  </cols>
  <sheetData>
    <row r="1" spans="1:15">
      <c r="A1" t="s">
        <v>0</v>
      </c>
      <c r="B1" t="s">
        <v>98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</row>
    <row r="2" spans="1:15">
      <c r="A2" t="s">
        <v>1</v>
      </c>
      <c r="B2">
        <v>29</v>
      </c>
      <c r="C2">
        <v>20</v>
      </c>
      <c r="D2">
        <v>9</v>
      </c>
      <c r="E2">
        <f t="shared" ref="E2:E33" si="0">AVERAGE(G2:K2)</f>
        <v>70.305999999999997</v>
      </c>
      <c r="F2">
        <v>1.8</v>
      </c>
      <c r="G2">
        <v>70.599999999999994</v>
      </c>
      <c r="H2">
        <v>70.430000000000007</v>
      </c>
      <c r="I2">
        <v>70.290000000000006</v>
      </c>
      <c r="J2">
        <v>69.87</v>
      </c>
      <c r="K2">
        <v>70.34</v>
      </c>
      <c r="L2">
        <v>0.72599999999999998</v>
      </c>
      <c r="M2">
        <f>SUM(27.72+20.44+27.57+17.6+14.97)/5</f>
        <v>21.659999999999997</v>
      </c>
      <c r="N2">
        <v>3</v>
      </c>
      <c r="O2">
        <v>8</v>
      </c>
    </row>
    <row r="3" spans="1:15">
      <c r="A3" t="s">
        <v>2</v>
      </c>
      <c r="B3">
        <v>26</v>
      </c>
      <c r="C3">
        <v>18</v>
      </c>
      <c r="D3">
        <v>8</v>
      </c>
      <c r="E3">
        <f t="shared" si="0"/>
        <v>70.417999999999992</v>
      </c>
      <c r="F3">
        <v>1.8</v>
      </c>
      <c r="G3">
        <v>70.92</v>
      </c>
      <c r="H3">
        <v>70.98</v>
      </c>
      <c r="I3">
        <v>71.06</v>
      </c>
      <c r="J3">
        <v>69.3</v>
      </c>
      <c r="K3">
        <v>69.83</v>
      </c>
      <c r="L3">
        <v>0.76</v>
      </c>
      <c r="M3">
        <f>SUM(24.17+28.86+30.62+24.62+17.56)/5</f>
        <v>25.166000000000004</v>
      </c>
      <c r="N3">
        <v>3</v>
      </c>
      <c r="O3">
        <v>7</v>
      </c>
    </row>
    <row r="4" spans="1:15">
      <c r="A4" t="s">
        <v>3</v>
      </c>
      <c r="B4">
        <v>21</v>
      </c>
      <c r="C4">
        <v>8</v>
      </c>
      <c r="D4">
        <v>9</v>
      </c>
      <c r="E4">
        <f t="shared" si="0"/>
        <v>64.313999999999993</v>
      </c>
      <c r="F4">
        <v>11.4</v>
      </c>
      <c r="G4">
        <v>62.95</v>
      </c>
      <c r="H4">
        <v>57.08</v>
      </c>
      <c r="I4">
        <v>64.489999999999995</v>
      </c>
      <c r="J4">
        <v>67.19</v>
      </c>
      <c r="K4">
        <v>69.86</v>
      </c>
      <c r="L4">
        <v>0.68600000000000005</v>
      </c>
      <c r="M4">
        <f>SUM(28.22+23.59+27.69+9.36+18.62)/5</f>
        <v>21.496000000000002</v>
      </c>
      <c r="N4">
        <v>4</v>
      </c>
      <c r="O4">
        <v>9</v>
      </c>
    </row>
    <row r="5" spans="1:15">
      <c r="A5" t="s">
        <v>4</v>
      </c>
      <c r="B5">
        <v>19</v>
      </c>
      <c r="C5">
        <v>1</v>
      </c>
      <c r="D5">
        <v>12</v>
      </c>
      <c r="E5">
        <f t="shared" si="0"/>
        <v>51.986000000000004</v>
      </c>
      <c r="F5">
        <v>45.6</v>
      </c>
      <c r="G5">
        <v>60.91</v>
      </c>
      <c r="H5">
        <v>24.19</v>
      </c>
      <c r="I5">
        <v>41.55</v>
      </c>
      <c r="J5">
        <v>66.64</v>
      </c>
      <c r="K5">
        <v>66.64</v>
      </c>
      <c r="L5">
        <v>0.92100000000000004</v>
      </c>
      <c r="M5">
        <f>SUM(32.05+23.03+32.85+26.95+36.48)/5</f>
        <v>30.272000000000002</v>
      </c>
      <c r="N5">
        <v>4</v>
      </c>
      <c r="O5">
        <v>15</v>
      </c>
    </row>
    <row r="6" spans="1:15">
      <c r="A6" t="s">
        <v>5</v>
      </c>
      <c r="B6">
        <v>26</v>
      </c>
      <c r="C6">
        <v>3</v>
      </c>
      <c r="D6">
        <v>7</v>
      </c>
      <c r="E6">
        <f t="shared" si="0"/>
        <v>49.213999999999999</v>
      </c>
      <c r="F6">
        <v>48.6</v>
      </c>
      <c r="G6">
        <v>27.49</v>
      </c>
      <c r="H6">
        <v>48.05</v>
      </c>
      <c r="I6">
        <v>56.92</v>
      </c>
      <c r="J6">
        <v>70.09</v>
      </c>
      <c r="K6">
        <v>43.52</v>
      </c>
      <c r="L6">
        <v>0.64</v>
      </c>
      <c r="M6">
        <f>SUM(6.02+0.78+11.78+11.53+19.11)/5</f>
        <v>9.8439999999999994</v>
      </c>
      <c r="N6">
        <v>0</v>
      </c>
      <c r="O6">
        <v>0</v>
      </c>
    </row>
    <row r="7" spans="1:15">
      <c r="A7" t="s">
        <v>6</v>
      </c>
      <c r="B7">
        <v>22</v>
      </c>
      <c r="C7">
        <v>5</v>
      </c>
      <c r="D7">
        <v>14</v>
      </c>
      <c r="E7">
        <f t="shared" si="0"/>
        <v>62.387999999999991</v>
      </c>
      <c r="F7">
        <v>17.600000000000001</v>
      </c>
      <c r="G7">
        <v>60.69</v>
      </c>
      <c r="H7">
        <v>62.26</v>
      </c>
      <c r="I7">
        <v>69.56</v>
      </c>
      <c r="J7">
        <v>68.959999999999994</v>
      </c>
      <c r="K7">
        <v>50.47</v>
      </c>
      <c r="L7">
        <v>0.73299999999999998</v>
      </c>
      <c r="M7">
        <f>SUM(25.02+10.24+17.86+20+21.85)/5</f>
        <v>18.994</v>
      </c>
      <c r="N7">
        <v>3</v>
      </c>
      <c r="O7">
        <v>8</v>
      </c>
    </row>
    <row r="8" spans="1:15">
      <c r="A8" t="s">
        <v>7</v>
      </c>
      <c r="B8">
        <v>19</v>
      </c>
      <c r="C8">
        <v>5</v>
      </c>
      <c r="D8">
        <v>10</v>
      </c>
      <c r="E8">
        <f t="shared" si="0"/>
        <v>57.851999999999997</v>
      </c>
      <c r="F8">
        <v>30.4</v>
      </c>
      <c r="G8">
        <v>64.97</v>
      </c>
      <c r="H8">
        <v>68.56</v>
      </c>
      <c r="I8">
        <v>67.92</v>
      </c>
      <c r="J8">
        <v>40.28</v>
      </c>
      <c r="K8">
        <v>47.53</v>
      </c>
      <c r="L8">
        <v>0.66700000000000004</v>
      </c>
      <c r="M8">
        <f>SUM(23.63+13.52+6.34+9.92+22.43)/5</f>
        <v>15.168000000000001</v>
      </c>
      <c r="N8">
        <v>3</v>
      </c>
      <c r="O8">
        <v>6</v>
      </c>
    </row>
    <row r="9" spans="1:15">
      <c r="A9" t="s">
        <v>8</v>
      </c>
      <c r="B9">
        <v>20</v>
      </c>
      <c r="C9">
        <v>5</v>
      </c>
      <c r="D9">
        <v>9</v>
      </c>
      <c r="E9">
        <f t="shared" si="0"/>
        <v>63.603999999999999</v>
      </c>
      <c r="F9">
        <v>13.4</v>
      </c>
      <c r="G9">
        <v>62.56</v>
      </c>
      <c r="H9">
        <v>63.9</v>
      </c>
      <c r="I9">
        <v>68.14</v>
      </c>
      <c r="J9">
        <v>64.77</v>
      </c>
      <c r="K9">
        <v>58.65</v>
      </c>
      <c r="L9">
        <v>0.79700000000000004</v>
      </c>
      <c r="M9">
        <f>SUM(27.45+23.49+21.57+30.23+19.98)/5</f>
        <v>24.544</v>
      </c>
      <c r="N9">
        <v>4</v>
      </c>
      <c r="O9">
        <v>9</v>
      </c>
    </row>
    <row r="10" spans="1:15">
      <c r="A10" t="s">
        <v>9</v>
      </c>
      <c r="B10">
        <v>18</v>
      </c>
      <c r="C10">
        <v>3</v>
      </c>
      <c r="D10">
        <v>7</v>
      </c>
      <c r="E10">
        <f t="shared" si="0"/>
        <v>55.918000000000006</v>
      </c>
      <c r="F10">
        <v>31</v>
      </c>
      <c r="G10">
        <v>39.21</v>
      </c>
      <c r="H10">
        <v>56.96</v>
      </c>
      <c r="I10">
        <v>62.3</v>
      </c>
      <c r="J10">
        <v>67.53</v>
      </c>
      <c r="K10">
        <v>53.59</v>
      </c>
      <c r="L10">
        <v>0.63</v>
      </c>
      <c r="M10">
        <f>SUM(27.5+18.96+18.3+16.79+16.95)/5</f>
        <v>19.700000000000003</v>
      </c>
      <c r="N10">
        <v>4</v>
      </c>
      <c r="O10">
        <v>6</v>
      </c>
    </row>
    <row r="11" spans="1:15">
      <c r="A11" t="s">
        <v>10</v>
      </c>
      <c r="B11">
        <v>20</v>
      </c>
      <c r="C11">
        <v>4</v>
      </c>
      <c r="D11">
        <v>5</v>
      </c>
      <c r="E11">
        <f t="shared" si="0"/>
        <v>52.902000000000001</v>
      </c>
      <c r="F11">
        <v>40.4</v>
      </c>
      <c r="G11">
        <v>68.58</v>
      </c>
      <c r="H11">
        <v>62.39</v>
      </c>
      <c r="I11">
        <v>19.510000000000002</v>
      </c>
      <c r="J11">
        <v>61.52</v>
      </c>
      <c r="K11">
        <v>52.51</v>
      </c>
      <c r="L11">
        <v>0.748</v>
      </c>
      <c r="M11">
        <f>SUM(20.06+17.77+22.39+20.22+22.12)/5</f>
        <v>20.512</v>
      </c>
      <c r="N11">
        <v>4</v>
      </c>
      <c r="O11">
        <v>8</v>
      </c>
    </row>
    <row r="12" spans="1:15">
      <c r="A12" t="s">
        <v>11</v>
      </c>
      <c r="B12">
        <v>23</v>
      </c>
      <c r="C12">
        <v>6</v>
      </c>
      <c r="D12">
        <v>13</v>
      </c>
      <c r="E12">
        <f t="shared" si="0"/>
        <v>65.866</v>
      </c>
      <c r="F12">
        <v>9.4</v>
      </c>
      <c r="G12">
        <v>65.900000000000006</v>
      </c>
      <c r="H12">
        <v>69.489999999999995</v>
      </c>
      <c r="I12">
        <v>60.68</v>
      </c>
      <c r="J12">
        <v>67.760000000000005</v>
      </c>
      <c r="K12">
        <v>65.5</v>
      </c>
      <c r="L12">
        <v>0.70399999999999996</v>
      </c>
      <c r="M12">
        <f>SUM(23.31+17.7+7.35+19.6+19.92)/5</f>
        <v>17.576000000000001</v>
      </c>
      <c r="N12">
        <v>2</v>
      </c>
      <c r="O12">
        <v>2</v>
      </c>
    </row>
    <row r="13" spans="1:15">
      <c r="A13" t="s">
        <v>12</v>
      </c>
      <c r="B13">
        <v>16</v>
      </c>
      <c r="C13">
        <v>3</v>
      </c>
      <c r="D13">
        <v>10</v>
      </c>
      <c r="E13">
        <f t="shared" si="0"/>
        <v>57.835999999999999</v>
      </c>
      <c r="F13">
        <v>28.6</v>
      </c>
      <c r="G13">
        <v>68.72</v>
      </c>
      <c r="H13">
        <v>48.62</v>
      </c>
      <c r="I13">
        <v>63.15</v>
      </c>
      <c r="J13">
        <v>58.53</v>
      </c>
      <c r="K13">
        <v>50.16</v>
      </c>
      <c r="L13">
        <v>0.70799999999999996</v>
      </c>
      <c r="M13">
        <f>SUM(15.51+25.41+30.81+24.03+12.9)/5</f>
        <v>21.732000000000003</v>
      </c>
      <c r="N13">
        <v>4</v>
      </c>
      <c r="O13">
        <v>6</v>
      </c>
    </row>
    <row r="14" spans="1:15">
      <c r="A14" t="s">
        <v>13</v>
      </c>
      <c r="B14">
        <v>18</v>
      </c>
      <c r="C14">
        <v>0</v>
      </c>
      <c r="D14">
        <v>12</v>
      </c>
      <c r="E14">
        <f t="shared" si="0"/>
        <v>54.986000000000004</v>
      </c>
      <c r="F14">
        <v>32.6</v>
      </c>
      <c r="G14">
        <v>53.45</v>
      </c>
      <c r="H14">
        <v>50.16</v>
      </c>
      <c r="I14">
        <v>64.75</v>
      </c>
      <c r="J14">
        <v>43.78</v>
      </c>
      <c r="K14">
        <v>62.79</v>
      </c>
      <c r="L14">
        <v>0.749</v>
      </c>
      <c r="M14">
        <f>SUM(23.05+24.2+28.32+20.12+29.67)/5</f>
        <v>25.071999999999999</v>
      </c>
      <c r="N14">
        <v>4</v>
      </c>
      <c r="O14">
        <v>12</v>
      </c>
    </row>
    <row r="15" spans="1:15">
      <c r="A15" t="s">
        <v>14</v>
      </c>
      <c r="B15">
        <v>20</v>
      </c>
      <c r="C15">
        <v>3</v>
      </c>
      <c r="D15">
        <v>3</v>
      </c>
      <c r="E15">
        <f t="shared" si="0"/>
        <v>48.58</v>
      </c>
      <c r="F15">
        <v>51.2</v>
      </c>
      <c r="G15">
        <v>45.34</v>
      </c>
      <c r="H15">
        <v>47.33</v>
      </c>
      <c r="I15">
        <v>25.61</v>
      </c>
      <c r="J15">
        <v>57.71</v>
      </c>
      <c r="K15">
        <v>66.91</v>
      </c>
      <c r="L15">
        <v>0.66700000000000004</v>
      </c>
      <c r="M15">
        <f>SUM(12.62+22.27+26.24+10.8+19.95)/5</f>
        <v>18.375999999999998</v>
      </c>
      <c r="N15">
        <v>3</v>
      </c>
      <c r="O15">
        <v>3</v>
      </c>
    </row>
    <row r="16" spans="1:15">
      <c r="A16" t="s">
        <v>15</v>
      </c>
      <c r="B16">
        <v>16</v>
      </c>
      <c r="C16">
        <v>3</v>
      </c>
      <c r="D16">
        <v>10</v>
      </c>
      <c r="E16">
        <f t="shared" si="0"/>
        <v>44.277999999999999</v>
      </c>
      <c r="F16">
        <v>79.2</v>
      </c>
      <c r="G16">
        <v>29.05</v>
      </c>
      <c r="H16">
        <v>67.84</v>
      </c>
      <c r="I16">
        <v>0</v>
      </c>
      <c r="J16">
        <v>66.930000000000007</v>
      </c>
      <c r="K16">
        <v>57.57</v>
      </c>
      <c r="L16">
        <v>0.67100000000000004</v>
      </c>
      <c r="M16">
        <f>SUM(25.51+15.41+19.35+21.36+13.54)/5</f>
        <v>19.033999999999999</v>
      </c>
      <c r="N16">
        <v>2</v>
      </c>
      <c r="O16">
        <v>1</v>
      </c>
    </row>
    <row r="17" spans="1:15">
      <c r="A17" t="s">
        <v>16</v>
      </c>
      <c r="B17">
        <v>18</v>
      </c>
      <c r="C17">
        <v>4</v>
      </c>
      <c r="D17">
        <v>13</v>
      </c>
      <c r="E17">
        <f t="shared" si="0"/>
        <v>58.808000000000007</v>
      </c>
      <c r="F17">
        <v>27.6</v>
      </c>
      <c r="G17">
        <v>67.290000000000006</v>
      </c>
      <c r="H17">
        <v>68.05</v>
      </c>
      <c r="I17">
        <v>66.569999999999993</v>
      </c>
      <c r="J17">
        <v>62.45</v>
      </c>
      <c r="K17">
        <v>29.68</v>
      </c>
      <c r="L17">
        <v>0.54900000000000004</v>
      </c>
      <c r="M17">
        <f>SUM(10.51+15.43+19.11+11.46+20.31)/5</f>
        <v>15.363999999999999</v>
      </c>
      <c r="N17">
        <v>2</v>
      </c>
      <c r="O17">
        <v>0</v>
      </c>
    </row>
    <row r="18" spans="1:15">
      <c r="A18" t="s">
        <v>17</v>
      </c>
      <c r="B18">
        <v>18</v>
      </c>
      <c r="C18">
        <v>0</v>
      </c>
      <c r="D18">
        <v>8</v>
      </c>
      <c r="E18">
        <f t="shared" si="0"/>
        <v>54.974000000000004</v>
      </c>
      <c r="F18">
        <v>34.4</v>
      </c>
      <c r="G18">
        <v>61.86</v>
      </c>
      <c r="H18">
        <v>50.91</v>
      </c>
      <c r="I18">
        <v>52.98</v>
      </c>
      <c r="J18">
        <v>55.89</v>
      </c>
      <c r="K18">
        <v>53.23</v>
      </c>
      <c r="L18">
        <v>0.59399999999999997</v>
      </c>
      <c r="M18">
        <f>SUM(13.31+14.82+15.13+13.28+16.75)/5</f>
        <v>14.658000000000001</v>
      </c>
      <c r="N18">
        <v>3</v>
      </c>
      <c r="O18">
        <v>4</v>
      </c>
    </row>
    <row r="19" spans="1:15">
      <c r="A19" t="s">
        <v>18</v>
      </c>
      <c r="B19">
        <v>15</v>
      </c>
      <c r="C19">
        <v>0</v>
      </c>
      <c r="D19">
        <v>9</v>
      </c>
      <c r="E19">
        <f t="shared" si="0"/>
        <v>48.606000000000002</v>
      </c>
      <c r="F19">
        <v>51</v>
      </c>
      <c r="G19">
        <v>65.92</v>
      </c>
      <c r="H19">
        <v>35.47</v>
      </c>
      <c r="I19">
        <v>21.05</v>
      </c>
      <c r="J19">
        <v>62.13</v>
      </c>
      <c r="K19">
        <v>58.46</v>
      </c>
      <c r="L19">
        <v>0.52600000000000002</v>
      </c>
      <c r="M19">
        <f>SUM(6.53-0.43+6.78+12.97+20.61)/5</f>
        <v>9.2919999999999998</v>
      </c>
      <c r="N19">
        <v>1</v>
      </c>
      <c r="O19">
        <v>0</v>
      </c>
    </row>
    <row r="20" spans="1:15">
      <c r="A20" t="s">
        <v>19</v>
      </c>
      <c r="B20">
        <v>21</v>
      </c>
      <c r="C20">
        <v>1</v>
      </c>
      <c r="D20">
        <v>11</v>
      </c>
      <c r="E20">
        <f t="shared" si="0"/>
        <v>60.045999999999992</v>
      </c>
      <c r="F20">
        <v>20.2</v>
      </c>
      <c r="G20">
        <v>61.94</v>
      </c>
      <c r="H20">
        <v>56.4</v>
      </c>
      <c r="I20">
        <v>64.489999999999995</v>
      </c>
      <c r="J20">
        <v>52.39</v>
      </c>
      <c r="K20">
        <v>65.010000000000005</v>
      </c>
      <c r="L20">
        <v>0.57399999999999995</v>
      </c>
      <c r="M20">
        <f>SUM(2.81+14.13+11.55+11.3+9.85)/5</f>
        <v>9.9280000000000008</v>
      </c>
      <c r="N20">
        <v>2</v>
      </c>
      <c r="O20">
        <v>0</v>
      </c>
    </row>
    <row r="21" spans="1:15">
      <c r="A21" t="s">
        <v>20</v>
      </c>
      <c r="B21">
        <v>18</v>
      </c>
      <c r="C21">
        <v>4</v>
      </c>
      <c r="D21">
        <v>6</v>
      </c>
      <c r="E21">
        <f t="shared" si="0"/>
        <v>56.48</v>
      </c>
      <c r="F21">
        <v>30.2</v>
      </c>
      <c r="G21">
        <v>52.03</v>
      </c>
      <c r="H21">
        <v>55.03</v>
      </c>
      <c r="I21">
        <v>62.82</v>
      </c>
      <c r="J21">
        <v>67.66</v>
      </c>
      <c r="K21">
        <v>44.86</v>
      </c>
      <c r="L21">
        <v>0.66900000000000004</v>
      </c>
      <c r="M21">
        <f>SUM(13.45+14.06+8.25+12.35+27.58)/5</f>
        <v>15.138</v>
      </c>
      <c r="N21">
        <v>2</v>
      </c>
      <c r="O21">
        <v>4</v>
      </c>
    </row>
    <row r="22" spans="1:15">
      <c r="A22" t="s">
        <v>21</v>
      </c>
      <c r="B22">
        <v>20</v>
      </c>
      <c r="C22">
        <v>2</v>
      </c>
      <c r="D22">
        <v>9</v>
      </c>
      <c r="E22">
        <f t="shared" si="0"/>
        <v>57.736000000000004</v>
      </c>
      <c r="F22">
        <v>26.6</v>
      </c>
      <c r="G22">
        <v>58.52</v>
      </c>
      <c r="H22">
        <v>55.02</v>
      </c>
      <c r="I22">
        <v>65.89</v>
      </c>
      <c r="J22">
        <v>46.97</v>
      </c>
      <c r="K22">
        <v>62.28</v>
      </c>
      <c r="L22">
        <v>0.53500000000000003</v>
      </c>
      <c r="M22">
        <f>SUM(14.49+10.44+13.73+15.73+14.95)/5</f>
        <v>13.868</v>
      </c>
      <c r="N22">
        <v>0</v>
      </c>
      <c r="O22">
        <v>0</v>
      </c>
    </row>
    <row r="23" spans="1:15">
      <c r="A23" t="s">
        <v>22</v>
      </c>
      <c r="B23">
        <v>16</v>
      </c>
      <c r="C23">
        <v>3</v>
      </c>
      <c r="D23">
        <v>4</v>
      </c>
      <c r="E23">
        <f t="shared" si="0"/>
        <v>45.694000000000003</v>
      </c>
      <c r="F23">
        <v>63.8</v>
      </c>
      <c r="G23">
        <v>52.07</v>
      </c>
      <c r="H23">
        <v>55.86</v>
      </c>
      <c r="I23">
        <v>53.42</v>
      </c>
      <c r="J23">
        <v>67.12</v>
      </c>
      <c r="K23">
        <v>0</v>
      </c>
      <c r="L23">
        <v>0.48399999999999999</v>
      </c>
      <c r="M23">
        <f>SUM(0.34+7.09+14.28+12.67+3.65)/5</f>
        <v>7.6059999999999999</v>
      </c>
      <c r="N23">
        <v>1</v>
      </c>
      <c r="O23">
        <v>1</v>
      </c>
    </row>
    <row r="24" spans="1:15">
      <c r="A24" t="s">
        <v>23</v>
      </c>
      <c r="B24">
        <v>24</v>
      </c>
      <c r="C24">
        <v>0</v>
      </c>
      <c r="D24">
        <v>7</v>
      </c>
      <c r="E24">
        <f t="shared" si="0"/>
        <v>49.501999999999995</v>
      </c>
      <c r="F24">
        <v>46.8</v>
      </c>
      <c r="G24">
        <v>14</v>
      </c>
      <c r="H24">
        <v>50.83</v>
      </c>
      <c r="I24">
        <v>55.47</v>
      </c>
      <c r="J24">
        <v>62.64</v>
      </c>
      <c r="K24">
        <v>64.569999999999993</v>
      </c>
      <c r="L24">
        <v>0.67100000000000004</v>
      </c>
      <c r="M24">
        <f>SUM(15.11+22.59+30.03+19.28+21.81)/5</f>
        <v>21.764000000000003</v>
      </c>
      <c r="N24">
        <v>3</v>
      </c>
      <c r="O24">
        <v>9</v>
      </c>
    </row>
    <row r="25" spans="1:15">
      <c r="A25" t="s">
        <v>24</v>
      </c>
      <c r="B25">
        <v>16</v>
      </c>
      <c r="C25">
        <v>0</v>
      </c>
      <c r="D25">
        <v>9</v>
      </c>
      <c r="E25">
        <f t="shared" si="0"/>
        <v>51.89</v>
      </c>
      <c r="F25">
        <v>42.2</v>
      </c>
      <c r="G25">
        <v>66</v>
      </c>
      <c r="H25">
        <v>30.11</v>
      </c>
      <c r="I25">
        <v>44</v>
      </c>
      <c r="J25">
        <v>59.51</v>
      </c>
      <c r="K25">
        <v>59.83</v>
      </c>
      <c r="L25">
        <v>0.80700000000000005</v>
      </c>
      <c r="M25">
        <f>SUM(24.29+29.53+34.22+14.22+21.42)/5</f>
        <v>24.735999999999997</v>
      </c>
      <c r="N25">
        <v>4</v>
      </c>
      <c r="O25">
        <v>7</v>
      </c>
    </row>
    <row r="26" spans="1:15">
      <c r="A26" t="s">
        <v>25</v>
      </c>
      <c r="B26">
        <v>15</v>
      </c>
      <c r="C26">
        <v>4</v>
      </c>
      <c r="D26">
        <v>7</v>
      </c>
      <c r="E26">
        <f t="shared" si="0"/>
        <v>52.991999999999997</v>
      </c>
      <c r="F26">
        <v>38.6</v>
      </c>
      <c r="G26">
        <v>45.9</v>
      </c>
      <c r="H26">
        <v>55.58</v>
      </c>
      <c r="I26">
        <v>66.52</v>
      </c>
      <c r="J26">
        <v>68.56</v>
      </c>
      <c r="K26">
        <v>28.4</v>
      </c>
      <c r="L26">
        <v>0.81</v>
      </c>
      <c r="M26">
        <f>SUM(29.88+33.76+17.33+19.98+23.02)/5</f>
        <v>24.794</v>
      </c>
      <c r="N26">
        <v>4</v>
      </c>
      <c r="O26">
        <v>10</v>
      </c>
    </row>
    <row r="27" spans="1:15">
      <c r="A27" t="s">
        <v>26</v>
      </c>
      <c r="B27">
        <v>23</v>
      </c>
      <c r="C27">
        <v>0</v>
      </c>
      <c r="D27">
        <v>5</v>
      </c>
      <c r="E27">
        <f t="shared" si="0"/>
        <v>49.756</v>
      </c>
      <c r="F27">
        <v>47.4</v>
      </c>
      <c r="G27">
        <v>39.57</v>
      </c>
      <c r="H27">
        <v>42.55</v>
      </c>
      <c r="I27">
        <v>59.16</v>
      </c>
      <c r="J27">
        <v>60.06</v>
      </c>
      <c r="K27">
        <v>47.44</v>
      </c>
      <c r="L27">
        <v>0.64100000000000001</v>
      </c>
      <c r="M27">
        <f>SUM(27.17+22.44+7.15+21.26+20.51)/5</f>
        <v>19.706</v>
      </c>
      <c r="N27">
        <v>3</v>
      </c>
      <c r="O27">
        <v>5</v>
      </c>
    </row>
    <row r="28" spans="1:15">
      <c r="A28" t="s">
        <v>27</v>
      </c>
      <c r="B28">
        <v>14</v>
      </c>
      <c r="C28">
        <v>3</v>
      </c>
      <c r="D28">
        <v>6</v>
      </c>
      <c r="E28">
        <f t="shared" si="0"/>
        <v>46.682000000000002</v>
      </c>
      <c r="F28">
        <v>73</v>
      </c>
      <c r="G28">
        <v>62.73</v>
      </c>
      <c r="H28">
        <v>63.46</v>
      </c>
      <c r="I28">
        <v>0</v>
      </c>
      <c r="J28">
        <v>57.17</v>
      </c>
      <c r="K28">
        <v>50.05</v>
      </c>
      <c r="L28">
        <v>0.52900000000000003</v>
      </c>
      <c r="M28">
        <f>SUM(15.03+15.43+9.03+6.39+3.01)/5</f>
        <v>9.7780000000000005</v>
      </c>
      <c r="N28">
        <v>2</v>
      </c>
      <c r="O28">
        <v>0</v>
      </c>
    </row>
    <row r="29" spans="1:15">
      <c r="A29" t="s">
        <v>28</v>
      </c>
      <c r="B29">
        <v>21</v>
      </c>
      <c r="C29">
        <v>1</v>
      </c>
      <c r="D29">
        <v>9</v>
      </c>
      <c r="E29">
        <f t="shared" si="0"/>
        <v>56.251999999999995</v>
      </c>
      <c r="F29">
        <v>32.6</v>
      </c>
      <c r="G29">
        <v>63.24</v>
      </c>
      <c r="H29">
        <v>47.46</v>
      </c>
      <c r="I29">
        <v>67.02</v>
      </c>
      <c r="J29">
        <v>57.58</v>
      </c>
      <c r="K29">
        <v>45.96</v>
      </c>
      <c r="L29">
        <v>0.66500000000000004</v>
      </c>
      <c r="M29">
        <f>SUM(14.34+15.03+19.29+21.12+17.63)/5</f>
        <v>17.481999999999999</v>
      </c>
      <c r="N29">
        <v>3</v>
      </c>
      <c r="O29">
        <v>2</v>
      </c>
    </row>
    <row r="30" spans="1:15">
      <c r="A30" t="s">
        <v>29</v>
      </c>
      <c r="B30">
        <v>28</v>
      </c>
      <c r="C30">
        <v>4</v>
      </c>
      <c r="D30">
        <v>8</v>
      </c>
      <c r="E30">
        <f t="shared" si="0"/>
        <v>59.221999999999994</v>
      </c>
      <c r="F30">
        <v>21.6</v>
      </c>
      <c r="G30">
        <v>44.97</v>
      </c>
      <c r="H30">
        <v>58.85</v>
      </c>
      <c r="I30">
        <v>68.91</v>
      </c>
      <c r="J30">
        <v>56.42</v>
      </c>
      <c r="K30">
        <v>66.959999999999994</v>
      </c>
      <c r="L30">
        <v>0.60399999999999998</v>
      </c>
      <c r="M30">
        <f>SUM(-0.25+11.62+20.22+15.62+20.35)/5</f>
        <v>13.512</v>
      </c>
      <c r="N30">
        <v>2</v>
      </c>
      <c r="O30">
        <v>3</v>
      </c>
    </row>
    <row r="31" spans="1:15">
      <c r="A31" t="s">
        <v>30</v>
      </c>
      <c r="B31">
        <v>20</v>
      </c>
      <c r="C31">
        <v>2</v>
      </c>
      <c r="D31">
        <v>8</v>
      </c>
      <c r="E31">
        <f t="shared" si="0"/>
        <v>49.362000000000002</v>
      </c>
      <c r="F31">
        <v>48.2</v>
      </c>
      <c r="G31">
        <v>64.72</v>
      </c>
      <c r="H31">
        <v>56.87</v>
      </c>
      <c r="I31">
        <v>0</v>
      </c>
      <c r="J31">
        <v>60.62</v>
      </c>
      <c r="K31">
        <v>64.599999999999994</v>
      </c>
      <c r="L31">
        <v>0.68300000000000005</v>
      </c>
      <c r="M31">
        <f>SUM(8.52+18.69+25+15.91+13.2)/5</f>
        <v>16.264000000000003</v>
      </c>
      <c r="N31">
        <v>2</v>
      </c>
      <c r="O31">
        <v>5</v>
      </c>
    </row>
    <row r="32" spans="1:15">
      <c r="A32" t="s">
        <v>31</v>
      </c>
      <c r="B32">
        <v>21</v>
      </c>
      <c r="C32">
        <v>1</v>
      </c>
      <c r="D32">
        <v>12</v>
      </c>
      <c r="E32">
        <f>AVERAGE(G32:K32)</f>
        <v>59</v>
      </c>
      <c r="F32">
        <v>23</v>
      </c>
      <c r="G32">
        <v>45.3</v>
      </c>
      <c r="H32">
        <v>66.39</v>
      </c>
      <c r="I32">
        <v>59.76</v>
      </c>
      <c r="J32">
        <v>60.32</v>
      </c>
      <c r="K32">
        <v>63.23</v>
      </c>
      <c r="L32">
        <v>0.58899999999999997</v>
      </c>
      <c r="M32">
        <f>SUM(13.08+13.41+10.68+11.5+25.09)/5</f>
        <v>14.752000000000001</v>
      </c>
      <c r="N32">
        <v>2</v>
      </c>
      <c r="O32">
        <v>3</v>
      </c>
    </row>
    <row r="33" spans="1:15">
      <c r="A33" t="s">
        <v>32</v>
      </c>
      <c r="B33">
        <v>20</v>
      </c>
      <c r="C33">
        <v>0</v>
      </c>
      <c r="D33">
        <v>7</v>
      </c>
      <c r="E33">
        <f t="shared" si="0"/>
        <v>47.884</v>
      </c>
      <c r="F33">
        <v>50</v>
      </c>
      <c r="G33">
        <v>20.75</v>
      </c>
      <c r="H33">
        <v>55.08</v>
      </c>
      <c r="I33">
        <v>59.61</v>
      </c>
      <c r="J33">
        <v>41.79</v>
      </c>
      <c r="K33">
        <v>62.19</v>
      </c>
      <c r="L33">
        <v>0.56200000000000006</v>
      </c>
      <c r="M33">
        <f>SUM(11.31+6.67+7.97+17.23+29.06)/5</f>
        <v>14.447999999999999</v>
      </c>
      <c r="N33">
        <v>1</v>
      </c>
      <c r="O33">
        <v>1</v>
      </c>
    </row>
    <row r="34" spans="1:15">
      <c r="A34" t="s">
        <v>33</v>
      </c>
      <c r="B34">
        <v>19</v>
      </c>
      <c r="C34">
        <v>1</v>
      </c>
      <c r="D34">
        <v>7</v>
      </c>
      <c r="E34">
        <f t="shared" ref="E34:E65" si="1">AVERAGE(G34:K34)</f>
        <v>54.033999999999992</v>
      </c>
      <c r="F34">
        <v>37</v>
      </c>
      <c r="G34">
        <v>67.41</v>
      </c>
      <c r="H34">
        <v>37.44</v>
      </c>
      <c r="I34">
        <v>54.07</v>
      </c>
      <c r="J34">
        <v>53.55</v>
      </c>
      <c r="K34">
        <v>57.7</v>
      </c>
      <c r="L34">
        <v>0.59499999999999997</v>
      </c>
      <c r="M34">
        <f>SUM(4.98+14.52+14.98+13.39+12.02)/5</f>
        <v>11.978</v>
      </c>
      <c r="N34">
        <v>1</v>
      </c>
      <c r="O34">
        <v>0</v>
      </c>
    </row>
    <row r="35" spans="1:15">
      <c r="A35" t="s">
        <v>34</v>
      </c>
      <c r="B35">
        <v>23</v>
      </c>
      <c r="C35">
        <v>1</v>
      </c>
      <c r="D35">
        <v>9</v>
      </c>
      <c r="E35">
        <f t="shared" si="1"/>
        <v>55.444000000000003</v>
      </c>
      <c r="F35">
        <v>31.8</v>
      </c>
      <c r="G35">
        <v>50.87</v>
      </c>
      <c r="H35">
        <v>50.27</v>
      </c>
      <c r="I35">
        <v>54.42</v>
      </c>
      <c r="J35">
        <v>67.12</v>
      </c>
      <c r="K35">
        <v>54.54</v>
      </c>
      <c r="L35">
        <v>0.497</v>
      </c>
      <c r="M35">
        <f>SUM(12.39+11.64+4.13+7.44+8.69)/5</f>
        <v>8.8580000000000005</v>
      </c>
      <c r="N35">
        <v>0</v>
      </c>
      <c r="O35">
        <v>0</v>
      </c>
    </row>
    <row r="36" spans="1:15">
      <c r="A36" t="s">
        <v>35</v>
      </c>
      <c r="B36">
        <v>18</v>
      </c>
      <c r="C36">
        <v>0</v>
      </c>
      <c r="D36">
        <v>3</v>
      </c>
      <c r="E36">
        <f t="shared" si="1"/>
        <v>40.019999999999996</v>
      </c>
      <c r="F36">
        <v>73.599999999999994</v>
      </c>
      <c r="G36">
        <v>35.770000000000003</v>
      </c>
      <c r="H36">
        <v>56.14</v>
      </c>
      <c r="I36">
        <v>34.35</v>
      </c>
      <c r="J36">
        <v>21.58</v>
      </c>
      <c r="K36">
        <v>52.26</v>
      </c>
      <c r="L36">
        <v>0.62</v>
      </c>
      <c r="M36">
        <f>SUM(10.3+5.27+10.75+15.71+25.1)/5</f>
        <v>13.425999999999998</v>
      </c>
      <c r="N36">
        <v>1</v>
      </c>
      <c r="O36">
        <v>1</v>
      </c>
    </row>
    <row r="37" spans="1:15">
      <c r="A37" t="s">
        <v>36</v>
      </c>
      <c r="B37">
        <v>18</v>
      </c>
      <c r="C37">
        <v>0</v>
      </c>
      <c r="D37">
        <v>9</v>
      </c>
      <c r="E37">
        <f t="shared" si="1"/>
        <v>56.10799999999999</v>
      </c>
      <c r="F37">
        <v>30.8</v>
      </c>
      <c r="G37">
        <v>47.93</v>
      </c>
      <c r="H37">
        <v>56.32</v>
      </c>
      <c r="I37">
        <v>59.14</v>
      </c>
      <c r="J37">
        <v>65.25</v>
      </c>
      <c r="K37">
        <v>51.9</v>
      </c>
      <c r="L37">
        <v>0.63800000000000001</v>
      </c>
      <c r="M37">
        <f>SUM(10.2+21.16+14.66+22.23+23.58)/5</f>
        <v>18.366</v>
      </c>
      <c r="N37">
        <v>3</v>
      </c>
      <c r="O37">
        <v>2</v>
      </c>
    </row>
    <row r="38" spans="1:15">
      <c r="A38" t="s">
        <v>37</v>
      </c>
      <c r="B38">
        <v>14</v>
      </c>
      <c r="C38">
        <v>0</v>
      </c>
      <c r="D38">
        <v>5</v>
      </c>
      <c r="E38">
        <f t="shared" si="1"/>
        <v>44.317999999999998</v>
      </c>
      <c r="F38">
        <v>48.4</v>
      </c>
      <c r="G38">
        <v>17.73</v>
      </c>
      <c r="H38">
        <v>49.68</v>
      </c>
      <c r="I38">
        <v>44.65</v>
      </c>
      <c r="J38">
        <v>50.38</v>
      </c>
      <c r="K38">
        <v>59.15</v>
      </c>
      <c r="L38">
        <v>0.59899999999999998</v>
      </c>
      <c r="M38">
        <f>SUM(14.46+21.65+16.14+10.42+15.48)/5</f>
        <v>15.63</v>
      </c>
      <c r="N38">
        <v>2</v>
      </c>
      <c r="O38">
        <v>2</v>
      </c>
    </row>
    <row r="39" spans="1:15">
      <c r="A39" t="s">
        <v>38</v>
      </c>
      <c r="B39">
        <v>21</v>
      </c>
      <c r="C39">
        <v>0</v>
      </c>
      <c r="D39">
        <v>5</v>
      </c>
      <c r="E39">
        <f t="shared" si="1"/>
        <v>45.603999999999999</v>
      </c>
      <c r="F39">
        <v>54.6</v>
      </c>
      <c r="G39">
        <v>19.760000000000002</v>
      </c>
      <c r="H39">
        <v>47.84</v>
      </c>
      <c r="I39">
        <v>55.54</v>
      </c>
      <c r="J39">
        <v>47.66</v>
      </c>
      <c r="K39">
        <v>57.22</v>
      </c>
      <c r="L39">
        <v>0.41799999999999998</v>
      </c>
      <c r="M39">
        <f>SUM(8.72-5.76+6.35+5.65+8.64)/5</f>
        <v>4.7200000000000006</v>
      </c>
      <c r="N39">
        <v>0</v>
      </c>
      <c r="O39">
        <v>0</v>
      </c>
    </row>
    <row r="40" spans="1:15">
      <c r="A40" t="s">
        <v>39</v>
      </c>
      <c r="B40">
        <v>16</v>
      </c>
      <c r="C40">
        <v>0</v>
      </c>
      <c r="D40">
        <v>6</v>
      </c>
      <c r="E40">
        <f t="shared" si="1"/>
        <v>48.34</v>
      </c>
      <c r="F40">
        <v>49.4</v>
      </c>
      <c r="G40">
        <v>32.93</v>
      </c>
      <c r="H40">
        <v>57.57</v>
      </c>
      <c r="I40">
        <v>48.87</v>
      </c>
      <c r="J40">
        <v>48.74</v>
      </c>
      <c r="K40">
        <v>53.59</v>
      </c>
      <c r="L40">
        <v>0.64500000000000002</v>
      </c>
      <c r="M40">
        <f>SUM(13.8+16.03+24.07+6.33+14.44)/5</f>
        <v>14.934000000000001</v>
      </c>
      <c r="N40">
        <v>4</v>
      </c>
      <c r="O40">
        <v>2</v>
      </c>
    </row>
    <row r="41" spans="1:15">
      <c r="A41" t="s">
        <v>40</v>
      </c>
      <c r="B41">
        <v>21</v>
      </c>
      <c r="C41">
        <v>1</v>
      </c>
      <c r="D41">
        <v>3</v>
      </c>
      <c r="E41">
        <f t="shared" si="1"/>
        <v>49.055999999999997</v>
      </c>
      <c r="F41">
        <v>49</v>
      </c>
      <c r="G41">
        <v>41.63</v>
      </c>
      <c r="H41">
        <v>50.72</v>
      </c>
      <c r="I41">
        <v>60.6</v>
      </c>
      <c r="J41">
        <v>45.09</v>
      </c>
      <c r="K41">
        <v>47.24</v>
      </c>
      <c r="L41">
        <v>0.40500000000000003</v>
      </c>
      <c r="M41">
        <f>SUM(16.25+7.94-0.93+6.7-0.64)/5</f>
        <v>5.8639999999999999</v>
      </c>
      <c r="N41">
        <v>1</v>
      </c>
      <c r="O41">
        <v>0</v>
      </c>
    </row>
    <row r="42" spans="1:15">
      <c r="A42" t="s">
        <v>41</v>
      </c>
      <c r="B42">
        <v>15</v>
      </c>
      <c r="C42">
        <v>0</v>
      </c>
      <c r="D42">
        <v>1</v>
      </c>
      <c r="E42">
        <f t="shared" si="1"/>
        <v>38.852000000000004</v>
      </c>
      <c r="F42">
        <v>79</v>
      </c>
      <c r="G42">
        <v>37.700000000000003</v>
      </c>
      <c r="H42">
        <v>38.25</v>
      </c>
      <c r="I42">
        <v>51.34</v>
      </c>
      <c r="J42">
        <v>26.01</v>
      </c>
      <c r="K42">
        <v>40.96</v>
      </c>
      <c r="L42">
        <v>0.51900000000000002</v>
      </c>
      <c r="M42">
        <f>SUM(9+4.9+5.26+11.26+17.5)/5</f>
        <v>9.5839999999999996</v>
      </c>
      <c r="N42">
        <v>1</v>
      </c>
      <c r="O42">
        <v>0</v>
      </c>
    </row>
    <row r="43" spans="1:15">
      <c r="A43" t="s">
        <v>42</v>
      </c>
      <c r="B43">
        <v>12</v>
      </c>
      <c r="C43">
        <v>0</v>
      </c>
      <c r="D43">
        <v>6</v>
      </c>
      <c r="E43">
        <f t="shared" si="1"/>
        <v>36.19</v>
      </c>
      <c r="F43">
        <v>94.8</v>
      </c>
      <c r="G43">
        <v>48.2</v>
      </c>
      <c r="H43">
        <v>28.17</v>
      </c>
      <c r="I43">
        <v>64.14</v>
      </c>
      <c r="J43">
        <v>0</v>
      </c>
      <c r="K43">
        <v>40.44</v>
      </c>
      <c r="L43">
        <v>0.56399999999999995</v>
      </c>
      <c r="M43">
        <f>SUM(19.74+15.79+6.95+12.09+10.03)/5</f>
        <v>12.920000000000002</v>
      </c>
      <c r="N43">
        <v>1</v>
      </c>
      <c r="O43">
        <v>1</v>
      </c>
    </row>
    <row r="44" spans="1:15">
      <c r="A44" t="s">
        <v>43</v>
      </c>
      <c r="B44">
        <v>16</v>
      </c>
      <c r="C44">
        <v>0</v>
      </c>
      <c r="D44">
        <v>2</v>
      </c>
      <c r="E44">
        <f t="shared" si="1"/>
        <v>38.838000000000001</v>
      </c>
      <c r="F44">
        <v>76.2</v>
      </c>
      <c r="G44">
        <v>33.950000000000003</v>
      </c>
      <c r="H44">
        <v>39.6</v>
      </c>
      <c r="I44">
        <v>41.28</v>
      </c>
      <c r="J44">
        <v>41.91</v>
      </c>
      <c r="K44">
        <v>37.450000000000003</v>
      </c>
      <c r="L44">
        <v>0.39300000000000002</v>
      </c>
      <c r="M44">
        <f>SUM(-0.27+10.21+4.52-0.68+1.47)/5</f>
        <v>3.0500000000000003</v>
      </c>
      <c r="N44">
        <v>0</v>
      </c>
      <c r="O44">
        <v>0</v>
      </c>
    </row>
    <row r="45" spans="1:15">
      <c r="A45" t="s">
        <v>44</v>
      </c>
      <c r="B45">
        <v>21</v>
      </c>
      <c r="C45">
        <v>1</v>
      </c>
      <c r="D45">
        <v>4</v>
      </c>
      <c r="E45">
        <f t="shared" si="1"/>
        <v>49.28</v>
      </c>
      <c r="F45">
        <v>47.4</v>
      </c>
      <c r="G45">
        <v>44.08</v>
      </c>
      <c r="H45">
        <v>34.67</v>
      </c>
      <c r="I45">
        <v>46.11</v>
      </c>
      <c r="J45">
        <v>58.6</v>
      </c>
      <c r="K45">
        <v>62.94</v>
      </c>
      <c r="L45">
        <v>0.56399999999999995</v>
      </c>
      <c r="M45">
        <f>SUM(22.48+12.93+8.16+12.73+18.95)/5</f>
        <v>15.05</v>
      </c>
      <c r="N45">
        <v>2</v>
      </c>
      <c r="O45">
        <v>1</v>
      </c>
    </row>
    <row r="46" spans="1:15">
      <c r="A46" t="s">
        <v>45</v>
      </c>
      <c r="B46">
        <v>14</v>
      </c>
      <c r="C46">
        <v>0</v>
      </c>
      <c r="D46">
        <v>6</v>
      </c>
      <c r="E46">
        <f t="shared" si="1"/>
        <v>43.793999999999997</v>
      </c>
      <c r="F46">
        <v>63.2</v>
      </c>
      <c r="G46">
        <v>48.1</v>
      </c>
      <c r="H46">
        <v>36.79</v>
      </c>
      <c r="I46">
        <v>54.93</v>
      </c>
      <c r="J46">
        <v>22.22</v>
      </c>
      <c r="K46">
        <v>56.93</v>
      </c>
      <c r="L46">
        <v>0.73599999999999999</v>
      </c>
      <c r="M46">
        <f>SUM(24.23+16.02+16.48+25.49+33.87)/5</f>
        <v>23.218</v>
      </c>
      <c r="N46">
        <v>3</v>
      </c>
      <c r="O46">
        <v>9</v>
      </c>
    </row>
    <row r="47" spans="1:15">
      <c r="A47" t="s">
        <v>46</v>
      </c>
      <c r="B47">
        <v>18</v>
      </c>
      <c r="C47">
        <v>0</v>
      </c>
      <c r="D47">
        <v>6</v>
      </c>
      <c r="E47">
        <f t="shared" si="1"/>
        <v>51.362000000000002</v>
      </c>
      <c r="F47">
        <v>41.8</v>
      </c>
      <c r="G47">
        <v>49.82</v>
      </c>
      <c r="H47">
        <v>47</v>
      </c>
      <c r="I47">
        <v>58.23</v>
      </c>
      <c r="J47">
        <v>46.53</v>
      </c>
      <c r="K47">
        <v>55.23</v>
      </c>
      <c r="L47">
        <v>0.47099999999999997</v>
      </c>
      <c r="M47">
        <f>SUM(23.45+6.58+22.09+8.35-0.14)/5</f>
        <v>12.066000000000001</v>
      </c>
      <c r="N47">
        <v>2</v>
      </c>
      <c r="O47">
        <v>1</v>
      </c>
    </row>
    <row r="48" spans="1:15">
      <c r="A48" t="s">
        <v>47</v>
      </c>
      <c r="B48">
        <v>20</v>
      </c>
      <c r="C48">
        <v>0</v>
      </c>
      <c r="D48">
        <v>1</v>
      </c>
      <c r="E48">
        <f t="shared" si="1"/>
        <v>39.934000000000005</v>
      </c>
      <c r="F48">
        <v>72</v>
      </c>
      <c r="G48">
        <v>37.909999999999997</v>
      </c>
      <c r="H48">
        <v>31.95</v>
      </c>
      <c r="I48">
        <v>28.86</v>
      </c>
      <c r="J48">
        <v>46.93</v>
      </c>
      <c r="K48">
        <v>54.02</v>
      </c>
      <c r="L48">
        <v>0.54500000000000004</v>
      </c>
      <c r="M48">
        <f>SUM(17.44+14.77+20.06+8.25+1.47)/5</f>
        <v>12.398</v>
      </c>
      <c r="N48">
        <v>3</v>
      </c>
      <c r="O48">
        <v>3</v>
      </c>
    </row>
    <row r="49" spans="1:15">
      <c r="A49" t="s">
        <v>48</v>
      </c>
      <c r="B49">
        <f>SUM(3+6+4+5+3)</f>
        <v>21</v>
      </c>
      <c r="C49">
        <f>SUM(0+0+0+0+0)</f>
        <v>0</v>
      </c>
      <c r="D49">
        <f>SUM(1+2+1+1+0)</f>
        <v>5</v>
      </c>
      <c r="E49">
        <f t="shared" si="1"/>
        <v>51.234000000000002</v>
      </c>
      <c r="F49">
        <f>SUM(48+37+35+30+58)/5</f>
        <v>41.6</v>
      </c>
      <c r="G49">
        <v>45.59</v>
      </c>
      <c r="H49">
        <v>51.58</v>
      </c>
      <c r="I49">
        <v>55.15</v>
      </c>
      <c r="J49">
        <v>57.55</v>
      </c>
      <c r="K49">
        <v>46.3</v>
      </c>
      <c r="L49">
        <v>0.57499999999999996</v>
      </c>
      <c r="M49">
        <f>SUM(17.51+18.47+15.04+9.31+2.81)/5</f>
        <v>12.628000000000002</v>
      </c>
      <c r="N49">
        <v>1</v>
      </c>
      <c r="O49">
        <v>0</v>
      </c>
    </row>
    <row r="50" spans="1:15">
      <c r="A50" t="s">
        <v>49</v>
      </c>
      <c r="B50">
        <f>SUM(4+3+2+7+2)</f>
        <v>18</v>
      </c>
      <c r="C50">
        <f>SUM(0+1+0+0+0)</f>
        <v>1</v>
      </c>
      <c r="D50">
        <f>SUM(2+1+0+1+0)</f>
        <v>4</v>
      </c>
      <c r="E50">
        <f t="shared" si="1"/>
        <v>45.058</v>
      </c>
      <c r="F50">
        <f>SUM(27+33+121+25+90)/5</f>
        <v>59.2</v>
      </c>
      <c r="G50">
        <v>55.09</v>
      </c>
      <c r="H50">
        <v>54.57</v>
      </c>
      <c r="I50">
        <v>22.94</v>
      </c>
      <c r="J50">
        <v>58.56</v>
      </c>
      <c r="K50">
        <v>34.130000000000003</v>
      </c>
      <c r="L50">
        <v>0.54200000000000004</v>
      </c>
      <c r="M50">
        <f>SUM(11.49+14.16+16.94+15.7+17.06)/5</f>
        <v>15.070000000000002</v>
      </c>
      <c r="N50">
        <v>3</v>
      </c>
      <c r="O50">
        <v>2</v>
      </c>
    </row>
    <row r="51" spans="1:15">
      <c r="A51" t="s">
        <v>50</v>
      </c>
      <c r="B51">
        <f>SUM(2+4+4+1+5)</f>
        <v>16</v>
      </c>
      <c r="C51">
        <f t="shared" ref="C51:C58" si="2">SUM(0+0+0+0+0)</f>
        <v>0</v>
      </c>
      <c r="D51">
        <f>SUM(0+0+1+0+1)</f>
        <v>2</v>
      </c>
      <c r="E51">
        <f t="shared" si="1"/>
        <v>39.378</v>
      </c>
      <c r="F51">
        <f>SUM(103+63+51+126+31)/5</f>
        <v>74.8</v>
      </c>
      <c r="G51">
        <v>25.33</v>
      </c>
      <c r="H51">
        <v>42.68</v>
      </c>
      <c r="I51">
        <v>49.81</v>
      </c>
      <c r="J51">
        <v>22.32</v>
      </c>
      <c r="K51">
        <v>56.75</v>
      </c>
      <c r="L51">
        <v>0.51</v>
      </c>
      <c r="M51">
        <f>SUM(2.23+3.07+8.76+17.72+17.48)/5</f>
        <v>9.8520000000000003</v>
      </c>
      <c r="N51">
        <v>1</v>
      </c>
      <c r="O51">
        <v>1</v>
      </c>
    </row>
    <row r="52" spans="1:15">
      <c r="A52" t="s">
        <v>51</v>
      </c>
      <c r="B52">
        <f>SUM(2+3+3+1+5)</f>
        <v>14</v>
      </c>
      <c r="C52">
        <f t="shared" si="2"/>
        <v>0</v>
      </c>
      <c r="D52">
        <f>SUM(0+2+0+0+1)</f>
        <v>3</v>
      </c>
      <c r="E52">
        <f t="shared" si="1"/>
        <v>38.525999999999996</v>
      </c>
      <c r="F52">
        <f>SUM(104+35+74+133+33)/5</f>
        <v>75.8</v>
      </c>
      <c r="G52">
        <v>24.69</v>
      </c>
      <c r="H52">
        <v>54.04</v>
      </c>
      <c r="I52">
        <v>39.659999999999997</v>
      </c>
      <c r="J52">
        <v>19.260000000000002</v>
      </c>
      <c r="K52">
        <v>54.98</v>
      </c>
      <c r="L52">
        <v>0.627</v>
      </c>
      <c r="M52">
        <f>SUM(22.99+10.68+21.94+18.95+22.4)/5</f>
        <v>19.392000000000003</v>
      </c>
      <c r="N52">
        <v>3</v>
      </c>
      <c r="O52">
        <v>3</v>
      </c>
    </row>
    <row r="53" spans="1:15">
      <c r="A53" t="s">
        <v>52</v>
      </c>
      <c r="B53">
        <f>SUM(1+5+3+3+3)</f>
        <v>15</v>
      </c>
      <c r="C53">
        <f t="shared" si="2"/>
        <v>0</v>
      </c>
      <c r="D53">
        <f>SUM(1+1+0+0+2)</f>
        <v>4</v>
      </c>
      <c r="E53">
        <f t="shared" si="1"/>
        <v>45.589999999999996</v>
      </c>
      <c r="F53">
        <f>SUM(108+34+49+58+36)/5</f>
        <v>57</v>
      </c>
      <c r="G53">
        <v>22.82</v>
      </c>
      <c r="H53">
        <v>54.43</v>
      </c>
      <c r="I53">
        <v>49.91</v>
      </c>
      <c r="J53">
        <v>46.43</v>
      </c>
      <c r="K53">
        <v>54.36</v>
      </c>
      <c r="L53">
        <v>0.70099999999999996</v>
      </c>
      <c r="M53">
        <f>SUM(23.12+26.27+26.81+18.57+20.33)/5</f>
        <v>23.020000000000003</v>
      </c>
      <c r="N53">
        <v>4</v>
      </c>
      <c r="O53">
        <v>7</v>
      </c>
    </row>
    <row r="54" spans="1:15">
      <c r="A54" t="s">
        <v>53</v>
      </c>
      <c r="B54">
        <f>SUM(3+2+3+4+3)</f>
        <v>15</v>
      </c>
      <c r="C54">
        <f t="shared" si="2"/>
        <v>0</v>
      </c>
      <c r="D54">
        <f>SUM(2+1+1+1+0)</f>
        <v>5</v>
      </c>
      <c r="E54">
        <f t="shared" si="1"/>
        <v>49.738</v>
      </c>
      <c r="F54">
        <f>SUM(30+71+45+37+54)/5</f>
        <v>47.4</v>
      </c>
      <c r="G54">
        <v>53.55</v>
      </c>
      <c r="H54">
        <v>40.47</v>
      </c>
      <c r="I54">
        <v>52.1</v>
      </c>
      <c r="J54">
        <v>53.32</v>
      </c>
      <c r="K54">
        <v>49.25</v>
      </c>
      <c r="L54">
        <v>0.55600000000000005</v>
      </c>
      <c r="M54">
        <f>SUM(16+5.08+14.35+17.83+12.97)/5</f>
        <v>13.246</v>
      </c>
      <c r="N54">
        <v>2</v>
      </c>
      <c r="O54">
        <v>1</v>
      </c>
    </row>
    <row r="55" spans="1:15">
      <c r="A55" t="s">
        <v>54</v>
      </c>
      <c r="B55">
        <f>SUM(5+3+2+2+5)</f>
        <v>17</v>
      </c>
      <c r="C55">
        <f t="shared" si="2"/>
        <v>0</v>
      </c>
      <c r="D55">
        <f>SUM(1+1+1+1+0)</f>
        <v>4</v>
      </c>
      <c r="E55">
        <f t="shared" si="1"/>
        <v>44.753999999999998</v>
      </c>
      <c r="F55">
        <f>SUM(39+57+67+73+63)/5</f>
        <v>59.8</v>
      </c>
      <c r="G55">
        <v>48.45</v>
      </c>
      <c r="H55">
        <v>46.88</v>
      </c>
      <c r="I55">
        <v>42.6</v>
      </c>
      <c r="J55">
        <v>40.83</v>
      </c>
      <c r="K55">
        <v>45.01</v>
      </c>
      <c r="L55">
        <v>0.59799999999999998</v>
      </c>
      <c r="M55">
        <f>SUM(10.48+8.14+16.02+18.65+26.87)/5</f>
        <v>16.032</v>
      </c>
      <c r="N55">
        <v>2</v>
      </c>
      <c r="O55">
        <v>2</v>
      </c>
    </row>
    <row r="56" spans="1:15">
      <c r="A56" t="s">
        <v>55</v>
      </c>
      <c r="B56">
        <f>SUM(3+2+3+6+4)</f>
        <v>18</v>
      </c>
      <c r="C56">
        <f t="shared" si="2"/>
        <v>0</v>
      </c>
      <c r="D56">
        <f>SUM(0+1+0+0+0)</f>
        <v>1</v>
      </c>
      <c r="E56">
        <f t="shared" si="1"/>
        <v>41.910000000000004</v>
      </c>
      <c r="F56">
        <f>SUM(55+75+85+52+67)/5</f>
        <v>66.8</v>
      </c>
      <c r="G56">
        <v>44.06</v>
      </c>
      <c r="H56">
        <v>39.26</v>
      </c>
      <c r="I56">
        <v>36.659999999999997</v>
      </c>
      <c r="J56">
        <v>47.27</v>
      </c>
      <c r="K56">
        <v>42.3</v>
      </c>
      <c r="L56">
        <v>0.42099999999999999</v>
      </c>
      <c r="M56">
        <f>SUM(5.14+13.54+14.35+0.64+7.76)/5</f>
        <v>8.2859999999999996</v>
      </c>
      <c r="N56">
        <v>0</v>
      </c>
      <c r="O56">
        <v>0</v>
      </c>
    </row>
    <row r="57" spans="1:15">
      <c r="A57" t="s">
        <v>56</v>
      </c>
      <c r="B57">
        <f>SUM(4+3+5+3+4)</f>
        <v>19</v>
      </c>
      <c r="C57">
        <f t="shared" si="2"/>
        <v>0</v>
      </c>
      <c r="D57">
        <f>SUM(2+0+0+0+0)</f>
        <v>2</v>
      </c>
      <c r="E57">
        <f t="shared" si="1"/>
        <v>41.564000000000007</v>
      </c>
      <c r="F57">
        <f>SUM(26+116+57+85+82)/5</f>
        <v>73.2</v>
      </c>
      <c r="G57">
        <v>55.83</v>
      </c>
      <c r="H57">
        <v>26.01</v>
      </c>
      <c r="I57">
        <v>48.03</v>
      </c>
      <c r="J57">
        <v>38.270000000000003</v>
      </c>
      <c r="K57">
        <v>39.68</v>
      </c>
      <c r="L57">
        <v>0.54400000000000004</v>
      </c>
      <c r="M57">
        <f>SUM(7.3+19.18+14.89+17.91+17.03)/5</f>
        <v>15.262</v>
      </c>
      <c r="N57">
        <v>0</v>
      </c>
      <c r="O57">
        <v>0</v>
      </c>
    </row>
    <row r="58" spans="1:15">
      <c r="A58" t="s">
        <v>57</v>
      </c>
      <c r="B58">
        <f>SUM(3+1+4+3+2)</f>
        <v>13</v>
      </c>
      <c r="C58">
        <f t="shared" si="2"/>
        <v>0</v>
      </c>
      <c r="D58">
        <f>SUM(0+0+2+1+0)</f>
        <v>3</v>
      </c>
      <c r="E58">
        <f t="shared" si="1"/>
        <v>40.052</v>
      </c>
      <c r="F58">
        <f>SUM(58+136+34+57+88)/5</f>
        <v>74.599999999999994</v>
      </c>
      <c r="G58">
        <v>42.96</v>
      </c>
      <c r="H58">
        <v>18.68</v>
      </c>
      <c r="I58">
        <v>55.3</v>
      </c>
      <c r="J58">
        <v>46.49</v>
      </c>
      <c r="K58">
        <v>36.83</v>
      </c>
      <c r="L58">
        <v>0.44500000000000001</v>
      </c>
      <c r="M58">
        <f>SUM(15.81+8.57+9.06+3.61+10.97)/5</f>
        <v>9.604000000000001</v>
      </c>
      <c r="N58">
        <v>1</v>
      </c>
      <c r="O58">
        <v>1</v>
      </c>
    </row>
    <row r="59" spans="1:15">
      <c r="A59" t="s">
        <v>58</v>
      </c>
      <c r="B59">
        <f>SUM(2+4+5+3+5)</f>
        <v>19</v>
      </c>
      <c r="C59">
        <f>SUM(0+0+0+0+1)</f>
        <v>1</v>
      </c>
      <c r="D59">
        <f>SUM(2+2+2+1+0)</f>
        <v>7</v>
      </c>
      <c r="E59">
        <f t="shared" si="1"/>
        <v>54.777999999999999</v>
      </c>
      <c r="F59">
        <f>SUM(56+14+20+59+17)/5</f>
        <v>33.200000000000003</v>
      </c>
      <c r="G59">
        <v>43.58</v>
      </c>
      <c r="H59">
        <v>61.87</v>
      </c>
      <c r="I59">
        <v>61.85</v>
      </c>
      <c r="J59">
        <v>46.29</v>
      </c>
      <c r="K59">
        <v>60.3</v>
      </c>
      <c r="L59">
        <v>0.52600000000000002</v>
      </c>
      <c r="M59">
        <f>SUM(5.91+8.37+5.47+14.11+13.78)/5</f>
        <v>9.5280000000000005</v>
      </c>
      <c r="N59">
        <v>0</v>
      </c>
      <c r="O59">
        <v>0</v>
      </c>
    </row>
    <row r="60" spans="1:15">
      <c r="A60" t="s">
        <v>59</v>
      </c>
      <c r="B60">
        <f>SUM(3+1+6+7+6)</f>
        <v>23</v>
      </c>
      <c r="C60">
        <f>SUM(0+0+0+0+0)</f>
        <v>0</v>
      </c>
      <c r="D60">
        <f>SUM(0+0+0+0+1)</f>
        <v>1</v>
      </c>
      <c r="E60">
        <f t="shared" si="1"/>
        <v>31.57</v>
      </c>
      <c r="F60">
        <f>SUM(82+129+158+99+38)/5</f>
        <v>101.2</v>
      </c>
      <c r="G60">
        <v>34.51</v>
      </c>
      <c r="H60">
        <v>19</v>
      </c>
      <c r="I60">
        <v>16</v>
      </c>
      <c r="J60">
        <v>34.57</v>
      </c>
      <c r="K60">
        <v>53.77</v>
      </c>
      <c r="L60">
        <v>0.43099999999999999</v>
      </c>
      <c r="M60">
        <f>SUM(-1.73-1.66-3.79+4.22+11.1)/5</f>
        <v>1.6280000000000001</v>
      </c>
      <c r="N60">
        <v>0</v>
      </c>
      <c r="O60">
        <v>0</v>
      </c>
    </row>
    <row r="61" spans="1:15">
      <c r="A61" t="s">
        <v>60</v>
      </c>
      <c r="B61">
        <f>SUM(5+5+7+5+5)</f>
        <v>27</v>
      </c>
      <c r="C61">
        <f>SUM(0+0+0+0+0)</f>
        <v>0</v>
      </c>
      <c r="D61">
        <f>SUM(1+1+2+1+1)</f>
        <v>6</v>
      </c>
      <c r="E61">
        <f t="shared" si="1"/>
        <v>50.222000000000001</v>
      </c>
      <c r="F61">
        <f>SUM(38+47+40+46+50)/5</f>
        <v>44.2</v>
      </c>
      <c r="G61">
        <v>48.99</v>
      </c>
      <c r="H61">
        <v>49.53</v>
      </c>
      <c r="I61">
        <v>53.63</v>
      </c>
      <c r="J61">
        <v>48.75</v>
      </c>
      <c r="K61">
        <v>50.21</v>
      </c>
      <c r="L61">
        <v>0.57099999999999995</v>
      </c>
      <c r="M61">
        <f>SUM(14.2+12.99+5.85+5.56+15.78)/5</f>
        <v>10.876000000000001</v>
      </c>
      <c r="N61">
        <v>0</v>
      </c>
      <c r="O61">
        <v>0</v>
      </c>
    </row>
    <row r="62" spans="1:15">
      <c r="A62" t="s">
        <v>61</v>
      </c>
      <c r="B62">
        <f>SUM(1+8+4+5+2)</f>
        <v>20</v>
      </c>
      <c r="C62">
        <f>SUM(0+0+0+0+0)</f>
        <v>0</v>
      </c>
      <c r="D62">
        <f>SUM(1+0+1+0+1)</f>
        <v>3</v>
      </c>
      <c r="E62">
        <f t="shared" si="1"/>
        <v>41.578000000000003</v>
      </c>
      <c r="F62">
        <f>SUM(99+55+44+66+87)/5</f>
        <v>70.2</v>
      </c>
      <c r="G62">
        <v>27.27</v>
      </c>
      <c r="H62">
        <v>47.32</v>
      </c>
      <c r="I62">
        <v>52.59</v>
      </c>
      <c r="J62">
        <v>43.34</v>
      </c>
      <c r="K62">
        <v>37.369999999999997</v>
      </c>
      <c r="L62">
        <v>0.38</v>
      </c>
      <c r="M62">
        <f>SUM(12.13-7.27-6.84+1.1+6.43)/5</f>
        <v>1.1100000000000001</v>
      </c>
      <c r="N62">
        <v>0</v>
      </c>
      <c r="O62">
        <v>0</v>
      </c>
    </row>
    <row r="63" spans="1:15">
      <c r="A63" t="s">
        <v>62</v>
      </c>
      <c r="B63">
        <f>SUM(3+3+4+7+3)</f>
        <v>20</v>
      </c>
      <c r="C63">
        <f>SUM(0+0+0+0+0)</f>
        <v>0</v>
      </c>
      <c r="D63">
        <f>SUM(1+1+0+0+0)</f>
        <v>2</v>
      </c>
      <c r="E63">
        <f t="shared" si="1"/>
        <v>40.36</v>
      </c>
      <c r="F63">
        <f>SUM(53+42+86+71+100)/5</f>
        <v>70.400000000000006</v>
      </c>
      <c r="G63">
        <v>44.43</v>
      </c>
      <c r="H63">
        <v>50.26</v>
      </c>
      <c r="I63">
        <v>35.729999999999997</v>
      </c>
      <c r="J63">
        <v>41.17</v>
      </c>
      <c r="K63">
        <v>30.21</v>
      </c>
      <c r="L63">
        <v>0.48399999999999999</v>
      </c>
      <c r="M63">
        <f>SUM(-8.72+6.99+8.33+8.93+16.4)/5</f>
        <v>6.3860000000000001</v>
      </c>
      <c r="N63">
        <v>1</v>
      </c>
      <c r="O63">
        <v>3</v>
      </c>
    </row>
    <row r="64" spans="1:15">
      <c r="A64" t="s">
        <v>63</v>
      </c>
      <c r="B64">
        <f>SUM(4+5+3+7+4)</f>
        <v>23</v>
      </c>
      <c r="C64">
        <f>SUM(0+0+0+0+0)</f>
        <v>0</v>
      </c>
      <c r="D64">
        <f>SUM(3+1+0+0+2)</f>
        <v>6</v>
      </c>
      <c r="E64">
        <f t="shared" si="1"/>
        <v>51.830000000000005</v>
      </c>
      <c r="F64">
        <f>SUM(19+29+102+35+19)/5</f>
        <v>40.799999999999997</v>
      </c>
      <c r="G64">
        <v>61.3</v>
      </c>
      <c r="H64">
        <v>55.31</v>
      </c>
      <c r="I64">
        <v>29.57</v>
      </c>
      <c r="J64">
        <v>53.8</v>
      </c>
      <c r="K64">
        <v>59.17</v>
      </c>
      <c r="L64">
        <v>0.52100000000000002</v>
      </c>
      <c r="M64">
        <f>SUM(11.49+16.96+7.49+3.77+3.05)/5</f>
        <v>8.5520000000000014</v>
      </c>
      <c r="N64">
        <v>1</v>
      </c>
      <c r="O64">
        <v>2</v>
      </c>
    </row>
    <row r="65" spans="1:15">
      <c r="A65" t="s">
        <v>64</v>
      </c>
      <c r="B65">
        <f>SUM(4+5+3+4+1)</f>
        <v>17</v>
      </c>
      <c r="C65">
        <f>SUM(0+2+0+0+0)</f>
        <v>2</v>
      </c>
      <c r="D65">
        <f>SUM(0+2+1+1+0)</f>
        <v>4</v>
      </c>
      <c r="E65">
        <f t="shared" si="1"/>
        <v>44.05</v>
      </c>
      <c r="F65">
        <f>SUM(68+4+59+40+165)/5</f>
        <v>67.2</v>
      </c>
      <c r="G65">
        <v>39.369999999999997</v>
      </c>
      <c r="H65">
        <v>68.61</v>
      </c>
      <c r="I65">
        <v>46.4</v>
      </c>
      <c r="J65">
        <v>51.65</v>
      </c>
      <c r="K65">
        <v>14.22</v>
      </c>
      <c r="L65">
        <v>0.48099999999999998</v>
      </c>
      <c r="M65">
        <f>SUM(0.64+14.83+9.78+7.44+15.14)/5</f>
        <v>9.5659999999999989</v>
      </c>
      <c r="N65">
        <v>2</v>
      </c>
      <c r="O65">
        <v>0</v>
      </c>
    </row>
    <row r="66" spans="1:15">
      <c r="A66" t="s">
        <v>65</v>
      </c>
      <c r="B66">
        <f>SUM(5+2+7+6+2)</f>
        <v>22</v>
      </c>
      <c r="C66">
        <f>SUM(0+0+0+0+0)</f>
        <v>0</v>
      </c>
      <c r="D66">
        <f>SUM(0+1+0+1+1)</f>
        <v>3</v>
      </c>
      <c r="E66">
        <f t="shared" ref="E66:E84" si="3">AVERAGE(G66:K66)</f>
        <v>44.946000000000005</v>
      </c>
      <c r="F66">
        <f>SUM(61+70+53+42+69)/5</f>
        <v>59</v>
      </c>
      <c r="G66">
        <v>42.23</v>
      </c>
      <c r="H66">
        <v>40.67</v>
      </c>
      <c r="I66">
        <v>48.99</v>
      </c>
      <c r="J66">
        <v>50.91</v>
      </c>
      <c r="K66">
        <v>41.93</v>
      </c>
      <c r="L66">
        <v>0.52800000000000002</v>
      </c>
      <c r="M66">
        <f>SUM(10.16+6.42+13.98+6.72+14.67)/5</f>
        <v>10.39</v>
      </c>
      <c r="N66">
        <v>1</v>
      </c>
      <c r="O66">
        <v>0</v>
      </c>
    </row>
    <row r="67" spans="1:15">
      <c r="A67" t="s">
        <v>66</v>
      </c>
      <c r="B67">
        <f>SUM(4+5+5+4+3)</f>
        <v>21</v>
      </c>
      <c r="C67">
        <f>SUM(0+0+0+0+0)</f>
        <v>0</v>
      </c>
      <c r="D67">
        <f>SUM(1+0+0+0+0)</f>
        <v>1</v>
      </c>
      <c r="E67">
        <f t="shared" si="3"/>
        <v>42.448000000000008</v>
      </c>
      <c r="F67">
        <f>SUM(65+64+55+45+99)/5</f>
        <v>65.599999999999994</v>
      </c>
      <c r="G67">
        <v>40.840000000000003</v>
      </c>
      <c r="H67">
        <v>42.62</v>
      </c>
      <c r="I67">
        <v>48.83</v>
      </c>
      <c r="J67">
        <v>49.42</v>
      </c>
      <c r="K67">
        <v>30.53</v>
      </c>
      <c r="L67">
        <v>0.53900000000000003</v>
      </c>
      <c r="M67">
        <f>SUM(20.8+9.91+9.55+10.66+4.96)/5</f>
        <v>11.176</v>
      </c>
      <c r="N67">
        <v>1</v>
      </c>
      <c r="O67">
        <v>4</v>
      </c>
    </row>
    <row r="68" spans="1:15">
      <c r="A68" t="s">
        <v>67</v>
      </c>
      <c r="B68">
        <f>SUM(2+3+3+4+4)</f>
        <v>16</v>
      </c>
      <c r="C68">
        <f>SUM(0+0+2+0+0)</f>
        <v>2</v>
      </c>
      <c r="D68">
        <f>SUM(1+1+1+0+0)</f>
        <v>3</v>
      </c>
      <c r="E68">
        <f t="shared" si="3"/>
        <v>48.414000000000001</v>
      </c>
      <c r="F68">
        <f>SUM(70+52+12+50+65)/5</f>
        <v>49.8</v>
      </c>
      <c r="G68">
        <v>38.46</v>
      </c>
      <c r="H68">
        <v>47.63</v>
      </c>
      <c r="I68">
        <v>64.7</v>
      </c>
      <c r="J68">
        <v>47.63</v>
      </c>
      <c r="K68">
        <v>43.65</v>
      </c>
      <c r="L68">
        <v>0.38500000000000001</v>
      </c>
      <c r="M68">
        <f>SUM(16.53+7.93+0.81+0.14+8.25)/5</f>
        <v>6.7319999999999993</v>
      </c>
      <c r="N68">
        <v>1</v>
      </c>
      <c r="O68">
        <v>0</v>
      </c>
    </row>
    <row r="69" spans="1:15">
      <c r="A69" t="s">
        <v>68</v>
      </c>
      <c r="B69">
        <f>SUM(7+2+5+4+5)</f>
        <v>23</v>
      </c>
      <c r="C69">
        <f t="shared" ref="C69:C83" si="4">SUM(0+0+0+0+0)</f>
        <v>0</v>
      </c>
      <c r="D69">
        <f>SUM(6+1+3+1+1)</f>
        <v>12</v>
      </c>
      <c r="E69">
        <f t="shared" si="3"/>
        <v>54.275999999999996</v>
      </c>
      <c r="F69">
        <f>SUM(10+65+16+60+39)/5</f>
        <v>38</v>
      </c>
      <c r="G69">
        <v>65.63</v>
      </c>
      <c r="H69">
        <v>42.61</v>
      </c>
      <c r="I69">
        <v>63.6</v>
      </c>
      <c r="J69">
        <v>45.77</v>
      </c>
      <c r="K69">
        <v>53.77</v>
      </c>
      <c r="L69">
        <v>0.61099999999999999</v>
      </c>
      <c r="M69">
        <f>SUM(7.27+13.61+20.04+13.57+12.37)/5</f>
        <v>13.372</v>
      </c>
      <c r="N69">
        <v>1</v>
      </c>
      <c r="O69">
        <v>0</v>
      </c>
    </row>
    <row r="70" spans="1:15">
      <c r="A70" t="s">
        <v>69</v>
      </c>
      <c r="B70">
        <f>SUM(6+4+8+1+4)</f>
        <v>23</v>
      </c>
      <c r="C70">
        <f t="shared" si="4"/>
        <v>0</v>
      </c>
      <c r="D70">
        <f>SUM(3+1+0+0+4)</f>
        <v>8</v>
      </c>
      <c r="E70">
        <f t="shared" si="3"/>
        <v>48.641999999999996</v>
      </c>
      <c r="F70">
        <f>SUM(29+36+38+157+9)/5</f>
        <v>53.8</v>
      </c>
      <c r="G70">
        <v>53.98</v>
      </c>
      <c r="H70">
        <v>53.39</v>
      </c>
      <c r="I70">
        <v>54.1</v>
      </c>
      <c r="J70">
        <v>16.78</v>
      </c>
      <c r="K70">
        <v>64.959999999999994</v>
      </c>
      <c r="L70">
        <v>0.66300000000000003</v>
      </c>
      <c r="M70">
        <f>SUM(16.25+14.69+12.92+13.59+21.56)/5</f>
        <v>15.802000000000001</v>
      </c>
      <c r="N70">
        <v>3</v>
      </c>
      <c r="O70">
        <v>4</v>
      </c>
    </row>
    <row r="71" spans="1:15">
      <c r="A71" t="s">
        <v>70</v>
      </c>
      <c r="B71">
        <f>SUM(3+4+1+2+3)</f>
        <v>13</v>
      </c>
      <c r="C71">
        <f t="shared" si="4"/>
        <v>0</v>
      </c>
      <c r="D71">
        <f>SUM(3+0+1+1+3)</f>
        <v>8</v>
      </c>
      <c r="E71">
        <f t="shared" si="3"/>
        <v>46.304000000000002</v>
      </c>
      <c r="F71">
        <f>SUM(22+59+112+75+20)/5</f>
        <v>57.6</v>
      </c>
      <c r="G71">
        <v>58.62</v>
      </c>
      <c r="H71">
        <v>45.01</v>
      </c>
      <c r="I71">
        <v>28.17</v>
      </c>
      <c r="J71">
        <v>40.56</v>
      </c>
      <c r="K71">
        <v>59.16</v>
      </c>
      <c r="L71">
        <v>0.60099999999999998</v>
      </c>
      <c r="M71">
        <f>SUM(16.58+13.68+16.52+17.19+10.4)/5</f>
        <v>14.874000000000001</v>
      </c>
      <c r="N71">
        <v>2</v>
      </c>
      <c r="O71">
        <v>0</v>
      </c>
    </row>
    <row r="72" spans="1:15">
      <c r="A72" t="s">
        <v>71</v>
      </c>
      <c r="B72">
        <f>SUM(3+5+3+5+3)</f>
        <v>19</v>
      </c>
      <c r="C72">
        <f t="shared" si="4"/>
        <v>0</v>
      </c>
      <c r="D72">
        <f>SUM(2+2+0+2+2)</f>
        <v>8</v>
      </c>
      <c r="E72">
        <f t="shared" si="3"/>
        <v>55.36</v>
      </c>
      <c r="F72">
        <f>SUM(28+11+66+27+25)/5</f>
        <v>31.4</v>
      </c>
      <c r="G72">
        <v>54.66</v>
      </c>
      <c r="H72">
        <v>63.12</v>
      </c>
      <c r="I72">
        <v>42.66</v>
      </c>
      <c r="J72">
        <v>58.51</v>
      </c>
      <c r="K72">
        <v>57.85</v>
      </c>
      <c r="L72">
        <v>0.64600000000000002</v>
      </c>
      <c r="M72">
        <f>SUM(16.7+21.51+10.6+13.9+12.73)/5</f>
        <v>15.087999999999999</v>
      </c>
      <c r="N72">
        <v>2</v>
      </c>
      <c r="O72">
        <v>4</v>
      </c>
    </row>
    <row r="73" spans="1:15">
      <c r="A73" t="s">
        <v>72</v>
      </c>
      <c r="B73">
        <f>SUM(3+3+3+2+3)</f>
        <v>14</v>
      </c>
      <c r="C73">
        <f t="shared" si="4"/>
        <v>0</v>
      </c>
      <c r="D73">
        <f>SUM(1+3+1+0+2)</f>
        <v>7</v>
      </c>
      <c r="E73">
        <f t="shared" si="3"/>
        <v>48.665999999999997</v>
      </c>
      <c r="F73">
        <f>SUM(44+25+42+106+34)/5</f>
        <v>50.2</v>
      </c>
      <c r="G73">
        <v>47.16</v>
      </c>
      <c r="H73">
        <v>56.27</v>
      </c>
      <c r="I73">
        <v>53</v>
      </c>
      <c r="J73">
        <v>32.1</v>
      </c>
      <c r="K73">
        <v>54.8</v>
      </c>
      <c r="L73">
        <v>0.67900000000000005</v>
      </c>
      <c r="M73">
        <f>SUM(18.83+16.91+12.67+20.93+20.59)/5</f>
        <v>17.986000000000001</v>
      </c>
      <c r="N73">
        <v>3</v>
      </c>
      <c r="O73">
        <v>2</v>
      </c>
    </row>
    <row r="74" spans="1:15">
      <c r="A74" t="s">
        <v>73</v>
      </c>
      <c r="B74">
        <f>SUM(5+3+3+4+3)</f>
        <v>18</v>
      </c>
      <c r="C74">
        <f t="shared" si="4"/>
        <v>0</v>
      </c>
      <c r="D74">
        <f>SUM(0+0+0+1+1)</f>
        <v>2</v>
      </c>
      <c r="E74">
        <f t="shared" si="3"/>
        <v>45.167999999999999</v>
      </c>
      <c r="F74">
        <f>SUM(75+82+63+34+43)/5</f>
        <v>59.4</v>
      </c>
      <c r="G74">
        <v>37.159999999999997</v>
      </c>
      <c r="H74">
        <v>36.200000000000003</v>
      </c>
      <c r="I74">
        <v>44.44</v>
      </c>
      <c r="J74">
        <v>55.07</v>
      </c>
      <c r="K74">
        <v>52.97</v>
      </c>
      <c r="L74">
        <v>0.4</v>
      </c>
      <c r="M74">
        <f>SUM(-1.05+7.03+5.02+7.9+2.8)/5</f>
        <v>4.34</v>
      </c>
      <c r="N74">
        <v>0</v>
      </c>
      <c r="O74">
        <v>0</v>
      </c>
    </row>
    <row r="75" spans="1:15">
      <c r="A75" t="s">
        <v>74</v>
      </c>
      <c r="B75">
        <f>SUM(3+4+2+2+5)</f>
        <v>16</v>
      </c>
      <c r="C75">
        <f t="shared" si="4"/>
        <v>0</v>
      </c>
      <c r="D75">
        <f>SUM(1+0+0+1+0)</f>
        <v>2</v>
      </c>
      <c r="E75">
        <f t="shared" si="3"/>
        <v>41.892000000000003</v>
      </c>
      <c r="F75">
        <f>SUM(47+62+109+80+46)/5</f>
        <v>68.8</v>
      </c>
      <c r="G75">
        <v>45.63</v>
      </c>
      <c r="H75">
        <v>43.49</v>
      </c>
      <c r="I75">
        <v>28.57</v>
      </c>
      <c r="J75">
        <v>39.68</v>
      </c>
      <c r="K75">
        <v>52.09</v>
      </c>
      <c r="L75">
        <v>0.59499999999999997</v>
      </c>
      <c r="M75">
        <f>SUM(20.76+19.05+9.24+18.39+5.34)/5</f>
        <v>14.556000000000001</v>
      </c>
      <c r="N75">
        <v>2</v>
      </c>
      <c r="O75">
        <v>3</v>
      </c>
    </row>
    <row r="76" spans="1:15">
      <c r="A76" t="s">
        <v>75</v>
      </c>
      <c r="B76">
        <f>SUM(1+4+4+5+4)</f>
        <v>18</v>
      </c>
      <c r="C76">
        <f t="shared" si="4"/>
        <v>0</v>
      </c>
      <c r="D76">
        <f>SUM(0+1+2+0+1)</f>
        <v>4</v>
      </c>
      <c r="E76">
        <f t="shared" si="3"/>
        <v>43.632000000000005</v>
      </c>
      <c r="F76">
        <f>SUM(113+44+31+55+60)/5</f>
        <v>60.6</v>
      </c>
      <c r="G76">
        <v>19.53</v>
      </c>
      <c r="H76">
        <v>50.09</v>
      </c>
      <c r="I76">
        <v>55.69</v>
      </c>
      <c r="J76">
        <v>46.86</v>
      </c>
      <c r="K76">
        <v>45.99</v>
      </c>
      <c r="L76">
        <v>0.497</v>
      </c>
      <c r="M76">
        <f>SUM(10.72+7.44+6.45+10.82+12.91)/5</f>
        <v>9.668000000000001</v>
      </c>
      <c r="N76">
        <v>1</v>
      </c>
      <c r="O76">
        <v>0</v>
      </c>
    </row>
    <row r="77" spans="1:15">
      <c r="A77" t="s">
        <v>76</v>
      </c>
      <c r="B77">
        <f>SUM(3+3+5+2+4)</f>
        <v>17</v>
      </c>
      <c r="C77">
        <f t="shared" si="4"/>
        <v>0</v>
      </c>
      <c r="D77">
        <f>SUM(3+1+0+0+0)</f>
        <v>4</v>
      </c>
      <c r="E77">
        <f t="shared" si="3"/>
        <v>42.433999999999997</v>
      </c>
      <c r="F77">
        <f>SUM(24+48+46+159+85)/5</f>
        <v>72.400000000000006</v>
      </c>
      <c r="G77">
        <v>57.31</v>
      </c>
      <c r="H77">
        <v>49.08</v>
      </c>
      <c r="I77">
        <v>51.4</v>
      </c>
      <c r="J77">
        <v>16.190000000000001</v>
      </c>
      <c r="K77">
        <v>38.19</v>
      </c>
      <c r="L77">
        <v>0.52800000000000002</v>
      </c>
      <c r="M77">
        <f>SUM(6.26+10.31+7.61+10.92+12.26)/5</f>
        <v>9.4719999999999995</v>
      </c>
      <c r="N77">
        <v>1</v>
      </c>
      <c r="O77">
        <v>0</v>
      </c>
    </row>
    <row r="78" spans="1:15">
      <c r="A78" t="s">
        <v>77</v>
      </c>
      <c r="B78">
        <f>SUM(2+4+2+3+2)</f>
        <v>13</v>
      </c>
      <c r="C78">
        <f t="shared" si="4"/>
        <v>0</v>
      </c>
      <c r="D78">
        <f>SUM(1+1+0+0+0)</f>
        <v>2</v>
      </c>
      <c r="E78">
        <f t="shared" si="3"/>
        <v>38.636000000000003</v>
      </c>
      <c r="F78">
        <f>SUM(60+45+90+101+92)/5</f>
        <v>77.599999999999994</v>
      </c>
      <c r="G78">
        <v>42.26</v>
      </c>
      <c r="H78">
        <v>49.73</v>
      </c>
      <c r="I78">
        <v>35.020000000000003</v>
      </c>
      <c r="J78">
        <v>33.46</v>
      </c>
      <c r="K78">
        <v>32.71</v>
      </c>
      <c r="L78">
        <v>0.62</v>
      </c>
      <c r="M78">
        <f>SUM(13.63+18.04+11.5+19.54+14.36)/5</f>
        <v>15.413999999999998</v>
      </c>
      <c r="N78">
        <v>3</v>
      </c>
      <c r="O78">
        <v>1</v>
      </c>
    </row>
    <row r="79" spans="1:15">
      <c r="A79" t="s">
        <v>78</v>
      </c>
      <c r="B79">
        <f>SUM(3+3+4+1+2)</f>
        <v>13</v>
      </c>
      <c r="C79">
        <f t="shared" si="4"/>
        <v>0</v>
      </c>
      <c r="D79">
        <f>SUM(2+2+2+1+0)</f>
        <v>7</v>
      </c>
      <c r="E79">
        <f t="shared" si="3"/>
        <v>44.732000000000006</v>
      </c>
      <c r="F79">
        <f>SUM(46+21+21+121+94)/5</f>
        <v>60.6</v>
      </c>
      <c r="G79">
        <v>45.67</v>
      </c>
      <c r="H79">
        <v>56.93</v>
      </c>
      <c r="I79">
        <v>61.45</v>
      </c>
      <c r="J79">
        <v>27.43</v>
      </c>
      <c r="K79">
        <v>32.18</v>
      </c>
      <c r="L79">
        <v>0.57199999999999995</v>
      </c>
      <c r="M79">
        <f>SUM(12.43+12.17+8.65+15+10.7)/5</f>
        <v>11.790000000000001</v>
      </c>
      <c r="N79">
        <v>2</v>
      </c>
      <c r="O79">
        <v>0</v>
      </c>
    </row>
    <row r="80" spans="1:15">
      <c r="A80" t="s">
        <v>79</v>
      </c>
      <c r="B80">
        <f>SUM(2+3+3+1+3)</f>
        <v>12</v>
      </c>
      <c r="C80">
        <f t="shared" si="4"/>
        <v>0</v>
      </c>
      <c r="D80">
        <f>SUM(2+0+0+0+0)</f>
        <v>2</v>
      </c>
      <c r="E80">
        <f t="shared" si="3"/>
        <v>35.636000000000003</v>
      </c>
      <c r="F80">
        <f>SUM(52+83+72+146+81)/5</f>
        <v>86.8</v>
      </c>
      <c r="G80">
        <v>44.73</v>
      </c>
      <c r="H80">
        <v>35.51</v>
      </c>
      <c r="I80">
        <v>40.54</v>
      </c>
      <c r="J80">
        <v>17.43</v>
      </c>
      <c r="K80">
        <v>39.97</v>
      </c>
      <c r="L80">
        <v>0.71899999999999997</v>
      </c>
      <c r="M80">
        <f>SUM(8.99+14.09+4.83+24.48+19.88)/5</f>
        <v>14.453999999999999</v>
      </c>
      <c r="N80">
        <v>2</v>
      </c>
      <c r="O80">
        <v>0</v>
      </c>
    </row>
    <row r="81" spans="1:15">
      <c r="A81" t="s">
        <v>80</v>
      </c>
      <c r="B81">
        <f>SUM(2+5+2+3+3)</f>
        <v>15</v>
      </c>
      <c r="C81">
        <f t="shared" si="4"/>
        <v>0</v>
      </c>
      <c r="D81">
        <f>SUM(0+0+1+0+1)</f>
        <v>2</v>
      </c>
      <c r="E81">
        <f t="shared" si="3"/>
        <v>37.167999999999999</v>
      </c>
      <c r="F81">
        <f>SUM(134+67+88+62+53)/5</f>
        <v>80.8</v>
      </c>
      <c r="G81">
        <v>14.02</v>
      </c>
      <c r="H81">
        <v>41.79</v>
      </c>
      <c r="I81">
        <v>35.39</v>
      </c>
      <c r="J81">
        <v>45.14</v>
      </c>
      <c r="K81">
        <v>49.5</v>
      </c>
      <c r="L81">
        <v>0.79</v>
      </c>
      <c r="M81">
        <f>SUM(13.61+20.24+24.13+20.39+28.75)/5</f>
        <v>21.423999999999999</v>
      </c>
      <c r="N81">
        <v>3</v>
      </c>
      <c r="O81">
        <v>7</v>
      </c>
    </row>
    <row r="82" spans="1:15">
      <c r="A82" t="s">
        <v>81</v>
      </c>
      <c r="B82">
        <f>SUM(3+1+9+6+6)</f>
        <v>25</v>
      </c>
      <c r="C82">
        <f t="shared" si="4"/>
        <v>0</v>
      </c>
      <c r="D82">
        <f>SUM(0+0+0+0+0)</f>
        <v>0</v>
      </c>
      <c r="E82">
        <f t="shared" si="3"/>
        <v>39.016000000000005</v>
      </c>
      <c r="F82">
        <f>SUM(72+125+64+41+73)/5</f>
        <v>75</v>
      </c>
      <c r="G82">
        <v>37.76</v>
      </c>
      <c r="H82">
        <v>21</v>
      </c>
      <c r="I82">
        <v>44.15</v>
      </c>
      <c r="J82">
        <v>51.15</v>
      </c>
      <c r="K82">
        <v>41.02</v>
      </c>
      <c r="L82">
        <v>0.73599999999999999</v>
      </c>
      <c r="M82">
        <f>SUM(26.14+19.03+10.1+15.19+12.3)/5</f>
        <v>16.552</v>
      </c>
      <c r="N82">
        <v>3</v>
      </c>
      <c r="O82">
        <v>1</v>
      </c>
    </row>
    <row r="83" spans="1:15">
      <c r="A83" t="s">
        <v>82</v>
      </c>
      <c r="B83">
        <f>SUM(1+2+3+3+2)</f>
        <v>11</v>
      </c>
      <c r="C83">
        <f t="shared" si="4"/>
        <v>0</v>
      </c>
      <c r="D83">
        <f>SUM(0+0+0+0+0)</f>
        <v>0</v>
      </c>
      <c r="E83">
        <f t="shared" si="3"/>
        <v>26.704000000000001</v>
      </c>
      <c r="F83">
        <f>SUM(126+103+87+84+160)/5</f>
        <v>112</v>
      </c>
      <c r="G83">
        <v>15.47</v>
      </c>
      <c r="H83">
        <v>28.52</v>
      </c>
      <c r="I83">
        <v>35.4</v>
      </c>
      <c r="J83">
        <v>38.35</v>
      </c>
      <c r="K83">
        <v>15.78</v>
      </c>
      <c r="L83">
        <v>0.70099999999999996</v>
      </c>
      <c r="M83">
        <f>SUM(6.45+16.39+4.18+6.87+24.32)/5</f>
        <v>11.641999999999999</v>
      </c>
      <c r="N83">
        <v>2</v>
      </c>
      <c r="O83">
        <v>6</v>
      </c>
    </row>
    <row r="84" spans="1:15">
      <c r="A84" t="s">
        <v>83</v>
      </c>
      <c r="B84">
        <f>SUM(2+3+2+2+3)</f>
        <v>12</v>
      </c>
      <c r="C84">
        <f>SUM(0+0+0+0+0)</f>
        <v>0</v>
      </c>
      <c r="D84">
        <f>SUM(1+0+1+0+0)</f>
        <v>2</v>
      </c>
      <c r="E84">
        <f t="shared" si="3"/>
        <v>34.428000000000004</v>
      </c>
      <c r="F84">
        <f>SUM(73+91+81+105+93)/5</f>
        <v>88.6</v>
      </c>
      <c r="G84">
        <v>37.76</v>
      </c>
      <c r="H84">
        <v>32.020000000000003</v>
      </c>
      <c r="I84">
        <v>37.33</v>
      </c>
      <c r="J84">
        <v>32.32</v>
      </c>
      <c r="K84">
        <v>32.71</v>
      </c>
      <c r="L84">
        <v>0.67500000000000004</v>
      </c>
      <c r="M84">
        <f>SUM(15.57+0.02+11.27+24.93+9.69)/5</f>
        <v>12.295999999999999</v>
      </c>
      <c r="N84">
        <v>1</v>
      </c>
      <c r="O84">
        <v>0</v>
      </c>
    </row>
    <row r="85" spans="1:15">
      <c r="L85" t="s">
        <v>84</v>
      </c>
    </row>
    <row r="90" spans="1:15">
      <c r="A90" s="1"/>
      <c r="B90" s="1"/>
      <c r="C90" s="1"/>
    </row>
    <row r="91" spans="1:15">
      <c r="A91" s="1"/>
      <c r="B91" s="1"/>
      <c r="C91" s="1"/>
    </row>
    <row r="92" spans="1:15">
      <c r="A92" s="1"/>
      <c r="B92" s="1"/>
      <c r="C92" s="1"/>
    </row>
    <row r="93" spans="1:15">
      <c r="A93" s="1"/>
      <c r="B93" s="1"/>
      <c r="C93" s="1"/>
    </row>
    <row r="94" spans="1:15">
      <c r="A94" s="1"/>
      <c r="B94" s="1"/>
      <c r="C94" s="1"/>
    </row>
  </sheetData>
  <pageMargins left="0.75" right="0.75" top="1" bottom="1" header="0.5" footer="0.5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RecruitingTables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gavinstruve</cp:lastModifiedBy>
  <dcterms:created xsi:type="dcterms:W3CDTF">2021-04-22T21:34:57Z</dcterms:created>
  <dcterms:modified xsi:type="dcterms:W3CDTF">2021-04-25T22:10:05Z</dcterms:modified>
</cp:coreProperties>
</file>